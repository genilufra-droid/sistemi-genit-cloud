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calcPr calcMode="auto" fullCalcOnLoad="1" forceFullCalc="1"/>
  <sheets>
    <sheet name="Punonjësit" sheetId="1" r:id="rId1"/>
    <sheet name="Parametrat" sheetId="2" r:id="rId2"/>
    <sheet name="Lista e Pagave" sheetId="3" r:id="rId3"/>
    <sheet name="Udhëzime" sheetId="4" r:id="rId4"/>
    <sheet name="Orari 31 Ditë" sheetId="5" r:id="rId5"/>
    <sheet name="Kalkulatori" sheetId="6" r:id="rId6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5B4A8A"/>
        <bgColor indexed="64"/>
      </patternFill>
    </fill>
  </fills>
  <borders count="1">
    <border>
      <left/>
      <right/>
      <top/>
      <bottom/>
      <diagonal/>
    </border>
  </borders>
  <cellXfs count="4">
    <xf numFmtId="0" fontId="0" fillId="0" borderId="0"/>
    <xf numFmtId="0" fontId="1" fillId="2" borderId="0" applyFont="1" applyFill="1"/>
    <xf numFmtId="4" fontId="0" fillId="0" borderId="0"/>
    <xf numFmtId="4" fontId="0" fillId="0" border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99" Type="http://schemas.openxmlformats.org/officeDocument/2006/relationships/styles" Target="styles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dimension ref="A1:E101"/>
  <sheetViews>
    <sheetView workbookViewId="0"/>
  </sheetViews>
  <cols>
    <col min="1" max="1" width="28" customWidth="1"/>
    <col min="2" max="2" width="20" customWidth="1"/>
    <col min="3" max="3" width="22" customWidth="1"/>
    <col min="4" max="4" width="30" customWidth="1"/>
    <col min="5" max="5" width="10" customWidth="1"/>
  </cols>
  <sheetData>
    <row r="1">
      <c r="A1" s="1" t="inlineStr">
        <is>
          <t>Emri i plotë</t>
        </is>
      </c>
      <c r="B1" s="1" t="inlineStr">
        <is>
          <t>Nr. personal / NIPT</t>
        </is>
      </c>
      <c r="C1" s="1" t="inlineStr">
        <is>
          <t>Pozicioni</t>
        </is>
      </c>
      <c r="D1" s="1" t="inlineStr">
        <is>
          <t>IBAN</t>
        </is>
      </c>
      <c r="E1" s="1" t="inlineStr">
        <is>
          <t>Aktiv</t>
        </is>
      </c>
    </row>
    <row r="2">
      <c r="A2" t="inlineStr">
        <is>
          <t/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>Po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>Po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>Po</t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>Po</t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>Po</t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>Po</t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>Po</t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>Po</t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>Po</t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>Po</t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>Po</t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>Po</t>
        </is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>Po</t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>Po</t>
        </is>
      </c>
    </row>
    <row r="16">
      <c r="A16" t="inlineStr">
        <is>
          <t/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>Po</t>
        </is>
      </c>
    </row>
    <row r="17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>Po</t>
        </is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>Po</t>
        </is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>Po</t>
        </is>
      </c>
    </row>
    <row r="20">
      <c r="A20" t="inlineStr">
        <is>
          <t/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>Po</t>
        </is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>Po</t>
        </is>
      </c>
    </row>
    <row r="22">
      <c r="A22" t="inlineStr">
        <is>
          <t/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>Po</t>
        </is>
      </c>
    </row>
    <row r="23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>Po</t>
        </is>
      </c>
    </row>
    <row r="24">
      <c r="A24" t="inlineStr">
        <is>
          <t/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>Po</t>
        </is>
      </c>
    </row>
    <row r="25">
      <c r="A25" t="inlineStr">
        <is>
          <t/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>Po</t>
        </is>
      </c>
    </row>
    <row r="26">
      <c r="A26" t="inlineStr">
        <is>
          <t/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>Po</t>
        </is>
      </c>
    </row>
    <row r="27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>Po</t>
        </is>
      </c>
    </row>
    <row r="28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>Po</t>
        </is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>Po</t>
        </is>
      </c>
    </row>
    <row r="30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>Po</t>
        </is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>Po</t>
        </is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>Po</t>
        </is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>Po</t>
        </is>
      </c>
    </row>
    <row r="34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>Po</t>
        </is>
      </c>
    </row>
    <row r="35">
      <c r="A35" t="inlineStr">
        <is>
          <t/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>Po</t>
        </is>
      </c>
    </row>
    <row r="36">
      <c r="A36" t="inlineStr">
        <is>
          <t/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>Po</t>
        </is>
      </c>
    </row>
    <row r="37">
      <c r="A37" t="inlineStr">
        <is>
          <t/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>Po</t>
        </is>
      </c>
    </row>
    <row r="38">
      <c r="A38" t="inlineStr">
        <is>
          <t/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>Po</t>
        </is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>Po</t>
        </is>
      </c>
    </row>
    <row r="40">
      <c r="A40" t="inlineStr">
        <is>
          <t/>
        </is>
      </c>
      <c r="B40" t="inlineStr">
        <is>
          <t/>
        </is>
      </c>
      <c r="C40" t="inlineStr">
        <is>
          <t/>
        </is>
      </c>
      <c r="D40" t="inlineStr">
        <is>
          <t/>
        </is>
      </c>
      <c r="E40" t="inlineStr">
        <is>
          <t>Po</t>
        </is>
      </c>
    </row>
    <row r="41">
      <c r="A41" t="inlineStr">
        <is>
          <t/>
        </is>
      </c>
      <c r="B41" t="inlineStr">
        <is>
          <t/>
        </is>
      </c>
      <c r="C41" t="inlineStr">
        <is>
          <t/>
        </is>
      </c>
      <c r="D41" t="inlineStr">
        <is>
          <t/>
        </is>
      </c>
      <c r="E41" t="inlineStr">
        <is>
          <t>Po</t>
        </is>
      </c>
    </row>
    <row r="42">
      <c r="A42" t="inlineStr">
        <is>
          <t/>
        </is>
      </c>
      <c r="B42" t="inlineStr">
        <is>
          <t/>
        </is>
      </c>
      <c r="C42" t="inlineStr">
        <is>
          <t/>
        </is>
      </c>
      <c r="D42" t="inlineStr">
        <is>
          <t/>
        </is>
      </c>
      <c r="E42" t="inlineStr">
        <is>
          <t>Po</t>
        </is>
      </c>
    </row>
    <row r="43">
      <c r="A43" t="inlineStr">
        <is>
          <t/>
        </is>
      </c>
      <c r="B43" t="inlineStr">
        <is>
          <t/>
        </is>
      </c>
      <c r="C43" t="inlineStr">
        <is>
          <t/>
        </is>
      </c>
      <c r="D43" t="inlineStr">
        <is>
          <t/>
        </is>
      </c>
      <c r="E43" t="inlineStr">
        <is>
          <t>Po</t>
        </is>
      </c>
    </row>
    <row r="44">
      <c r="A44" t="inlineStr">
        <is>
          <t/>
        </is>
      </c>
      <c r="B44" t="inlineStr">
        <is>
          <t/>
        </is>
      </c>
      <c r="C44" t="inlineStr">
        <is>
          <t/>
        </is>
      </c>
      <c r="D44" t="inlineStr">
        <is>
          <t/>
        </is>
      </c>
      <c r="E44" t="inlineStr">
        <is>
          <t>Po</t>
        </is>
      </c>
    </row>
    <row r="45">
      <c r="A45" t="inlineStr">
        <is>
          <t/>
        </is>
      </c>
      <c r="B45" t="inlineStr">
        <is>
          <t/>
        </is>
      </c>
      <c r="C45" t="inlineStr">
        <is>
          <t/>
        </is>
      </c>
      <c r="D45" t="inlineStr">
        <is>
          <t/>
        </is>
      </c>
      <c r="E45" t="inlineStr">
        <is>
          <t>Po</t>
        </is>
      </c>
    </row>
    <row r="46">
      <c r="A46" t="inlineStr">
        <is>
          <t/>
        </is>
      </c>
      <c r="B46" t="inlineStr">
        <is>
          <t/>
        </is>
      </c>
      <c r="C46" t="inlineStr">
        <is>
          <t/>
        </is>
      </c>
      <c r="D46" t="inlineStr">
        <is>
          <t/>
        </is>
      </c>
      <c r="E46" t="inlineStr">
        <is>
          <t>Po</t>
        </is>
      </c>
    </row>
    <row r="47">
      <c r="A47" t="inlineStr">
        <is>
          <t/>
        </is>
      </c>
      <c r="B47" t="inlineStr">
        <is>
          <t/>
        </is>
      </c>
      <c r="C47" t="inlineStr">
        <is>
          <t/>
        </is>
      </c>
      <c r="D47" t="inlineStr">
        <is>
          <t/>
        </is>
      </c>
      <c r="E47" t="inlineStr">
        <is>
          <t>Po</t>
        </is>
      </c>
    </row>
    <row r="48">
      <c r="A48" t="inlineStr">
        <is>
          <t/>
        </is>
      </c>
      <c r="B48" t="inlineStr">
        <is>
          <t/>
        </is>
      </c>
      <c r="C48" t="inlineStr">
        <is>
          <t/>
        </is>
      </c>
      <c r="D48" t="inlineStr">
        <is>
          <t/>
        </is>
      </c>
      <c r="E48" t="inlineStr">
        <is>
          <t>Po</t>
        </is>
      </c>
    </row>
    <row r="49">
      <c r="A49" t="inlineStr">
        <is>
          <t/>
        </is>
      </c>
      <c r="B49" t="inlineStr">
        <is>
          <t/>
        </is>
      </c>
      <c r="C49" t="inlineStr">
        <is>
          <t/>
        </is>
      </c>
      <c r="D49" t="inlineStr">
        <is>
          <t/>
        </is>
      </c>
      <c r="E49" t="inlineStr">
        <is>
          <t>Po</t>
        </is>
      </c>
    </row>
    <row r="50">
      <c r="A50" t="inlineStr">
        <is>
          <t/>
        </is>
      </c>
      <c r="B50" t="inlineStr">
        <is>
          <t/>
        </is>
      </c>
      <c r="C50" t="inlineStr">
        <is>
          <t/>
        </is>
      </c>
      <c r="D50" t="inlineStr">
        <is>
          <t/>
        </is>
      </c>
      <c r="E50" t="inlineStr">
        <is>
          <t>Po</t>
        </is>
      </c>
    </row>
    <row r="51">
      <c r="A51" t="inlineStr">
        <is>
          <t/>
        </is>
      </c>
      <c r="B51" t="inlineStr">
        <is>
          <t/>
        </is>
      </c>
      <c r="C51" t="inlineStr">
        <is>
          <t/>
        </is>
      </c>
      <c r="D51" t="inlineStr">
        <is>
          <t/>
        </is>
      </c>
      <c r="E51" t="inlineStr">
        <is>
          <t>Po</t>
        </is>
      </c>
    </row>
    <row r="52">
      <c r="A52" t="inlineStr">
        <is>
          <t/>
        </is>
      </c>
      <c r="B52" t="inlineStr">
        <is>
          <t/>
        </is>
      </c>
      <c r="C52" t="inlineStr">
        <is>
          <t/>
        </is>
      </c>
      <c r="D52" t="inlineStr">
        <is>
          <t/>
        </is>
      </c>
      <c r="E52" t="inlineStr">
        <is>
          <t>Po</t>
        </is>
      </c>
    </row>
    <row r="53">
      <c r="A53" t="inlineStr">
        <is>
          <t/>
        </is>
      </c>
      <c r="B53" t="inlineStr">
        <is>
          <t/>
        </is>
      </c>
      <c r="C53" t="inlineStr">
        <is>
          <t/>
        </is>
      </c>
      <c r="D53" t="inlineStr">
        <is>
          <t/>
        </is>
      </c>
      <c r="E53" t="inlineStr">
        <is>
          <t>Po</t>
        </is>
      </c>
    </row>
    <row r="54">
      <c r="A54" t="inlineStr">
        <is>
          <t/>
        </is>
      </c>
      <c r="B54" t="inlineStr">
        <is>
          <t/>
        </is>
      </c>
      <c r="C54" t="inlineStr">
        <is>
          <t/>
        </is>
      </c>
      <c r="D54" t="inlineStr">
        <is>
          <t/>
        </is>
      </c>
      <c r="E54" t="inlineStr">
        <is>
          <t>Po</t>
        </is>
      </c>
    </row>
    <row r="55">
      <c r="A55" t="inlineStr">
        <is>
          <t/>
        </is>
      </c>
      <c r="B55" t="inlineStr">
        <is>
          <t/>
        </is>
      </c>
      <c r="C55" t="inlineStr">
        <is>
          <t/>
        </is>
      </c>
      <c r="D55" t="inlineStr">
        <is>
          <t/>
        </is>
      </c>
      <c r="E55" t="inlineStr">
        <is>
          <t>Po</t>
        </is>
      </c>
    </row>
    <row r="56">
      <c r="A56" t="inlineStr">
        <is>
          <t/>
        </is>
      </c>
      <c r="B56" t="inlineStr">
        <is>
          <t/>
        </is>
      </c>
      <c r="C56" t="inlineStr">
        <is>
          <t/>
        </is>
      </c>
      <c r="D56" t="inlineStr">
        <is>
          <t/>
        </is>
      </c>
      <c r="E56" t="inlineStr">
        <is>
          <t>Po</t>
        </is>
      </c>
    </row>
    <row r="57">
      <c r="A57" t="inlineStr">
        <is>
          <t/>
        </is>
      </c>
      <c r="B57" t="inlineStr">
        <is>
          <t/>
        </is>
      </c>
      <c r="C57" t="inlineStr">
        <is>
          <t/>
        </is>
      </c>
      <c r="D57" t="inlineStr">
        <is>
          <t/>
        </is>
      </c>
      <c r="E57" t="inlineStr">
        <is>
          <t>Po</t>
        </is>
      </c>
    </row>
    <row r="58">
      <c r="A58" t="inlineStr">
        <is>
          <t/>
        </is>
      </c>
      <c r="B58" t="inlineStr">
        <is>
          <t/>
        </is>
      </c>
      <c r="C58" t="inlineStr">
        <is>
          <t/>
        </is>
      </c>
      <c r="D58" t="inlineStr">
        <is>
          <t/>
        </is>
      </c>
      <c r="E58" t="inlineStr">
        <is>
          <t>Po</t>
        </is>
      </c>
    </row>
    <row r="59">
      <c r="A59" t="inlineStr">
        <is>
          <t/>
        </is>
      </c>
      <c r="B59" t="inlineStr">
        <is>
          <t/>
        </is>
      </c>
      <c r="C59" t="inlineStr">
        <is>
          <t/>
        </is>
      </c>
      <c r="D59" t="inlineStr">
        <is>
          <t/>
        </is>
      </c>
      <c r="E59" t="inlineStr">
        <is>
          <t>Po</t>
        </is>
      </c>
    </row>
    <row r="60">
      <c r="A60" t="inlineStr">
        <is>
          <t/>
        </is>
      </c>
      <c r="B60" t="inlineStr">
        <is>
          <t/>
        </is>
      </c>
      <c r="C60" t="inlineStr">
        <is>
          <t/>
        </is>
      </c>
      <c r="D60" t="inlineStr">
        <is>
          <t/>
        </is>
      </c>
      <c r="E60" t="inlineStr">
        <is>
          <t>Po</t>
        </is>
      </c>
    </row>
    <row r="61">
      <c r="A61" t="inlineStr">
        <is>
          <t/>
        </is>
      </c>
      <c r="B61" t="inlineStr">
        <is>
          <t/>
        </is>
      </c>
      <c r="C61" t="inlineStr">
        <is>
          <t/>
        </is>
      </c>
      <c r="D61" t="inlineStr">
        <is>
          <t/>
        </is>
      </c>
      <c r="E61" t="inlineStr">
        <is>
          <t>Po</t>
        </is>
      </c>
    </row>
    <row r="62">
      <c r="A62" t="inlineStr">
        <is>
          <t/>
        </is>
      </c>
      <c r="B62" t="inlineStr">
        <is>
          <t/>
        </is>
      </c>
      <c r="C62" t="inlineStr">
        <is>
          <t/>
        </is>
      </c>
      <c r="D62" t="inlineStr">
        <is>
          <t/>
        </is>
      </c>
      <c r="E62" t="inlineStr">
        <is>
          <t>Po</t>
        </is>
      </c>
    </row>
    <row r="63">
      <c r="A63" t="inlineStr">
        <is>
          <t/>
        </is>
      </c>
      <c r="B63" t="inlineStr">
        <is>
          <t/>
        </is>
      </c>
      <c r="C63" t="inlineStr">
        <is>
          <t/>
        </is>
      </c>
      <c r="D63" t="inlineStr">
        <is>
          <t/>
        </is>
      </c>
      <c r="E63" t="inlineStr">
        <is>
          <t>Po</t>
        </is>
      </c>
    </row>
    <row r="64">
      <c r="A64" t="inlineStr">
        <is>
          <t/>
        </is>
      </c>
      <c r="B64" t="inlineStr">
        <is>
          <t/>
        </is>
      </c>
      <c r="C64" t="inlineStr">
        <is>
          <t/>
        </is>
      </c>
      <c r="D64" t="inlineStr">
        <is>
          <t/>
        </is>
      </c>
      <c r="E64" t="inlineStr">
        <is>
          <t>Po</t>
        </is>
      </c>
    </row>
    <row r="65">
      <c r="A65" t="inlineStr">
        <is>
          <t/>
        </is>
      </c>
      <c r="B65" t="inlineStr">
        <is>
          <t/>
        </is>
      </c>
      <c r="C65" t="inlineStr">
        <is>
          <t/>
        </is>
      </c>
      <c r="D65" t="inlineStr">
        <is>
          <t/>
        </is>
      </c>
      <c r="E65" t="inlineStr">
        <is>
          <t>Po</t>
        </is>
      </c>
    </row>
    <row r="66">
      <c r="A66" t="inlineStr">
        <is>
          <t/>
        </is>
      </c>
      <c r="B66" t="inlineStr">
        <is>
          <t/>
        </is>
      </c>
      <c r="C66" t="inlineStr">
        <is>
          <t/>
        </is>
      </c>
      <c r="D66" t="inlineStr">
        <is>
          <t/>
        </is>
      </c>
      <c r="E66" t="inlineStr">
        <is>
          <t>Po</t>
        </is>
      </c>
    </row>
    <row r="67">
      <c r="A67" t="inlineStr">
        <is>
          <t/>
        </is>
      </c>
      <c r="B67" t="inlineStr">
        <is>
          <t/>
        </is>
      </c>
      <c r="C67" t="inlineStr">
        <is>
          <t/>
        </is>
      </c>
      <c r="D67" t="inlineStr">
        <is>
          <t/>
        </is>
      </c>
      <c r="E67" t="inlineStr">
        <is>
          <t>Po</t>
        </is>
      </c>
    </row>
    <row r="68">
      <c r="A68" t="inlineStr">
        <is>
          <t/>
        </is>
      </c>
      <c r="B68" t="inlineStr">
        <is>
          <t/>
        </is>
      </c>
      <c r="C68" t="inlineStr">
        <is>
          <t/>
        </is>
      </c>
      <c r="D68" t="inlineStr">
        <is>
          <t/>
        </is>
      </c>
      <c r="E68" t="inlineStr">
        <is>
          <t>Po</t>
        </is>
      </c>
    </row>
    <row r="69">
      <c r="A69" t="inlineStr">
        <is>
          <t/>
        </is>
      </c>
      <c r="B69" t="inlineStr">
        <is>
          <t/>
        </is>
      </c>
      <c r="C69" t="inlineStr">
        <is>
          <t/>
        </is>
      </c>
      <c r="D69" t="inlineStr">
        <is>
          <t/>
        </is>
      </c>
      <c r="E69" t="inlineStr">
        <is>
          <t>Po</t>
        </is>
      </c>
    </row>
    <row r="70">
      <c r="A70" t="inlineStr">
        <is>
          <t/>
        </is>
      </c>
      <c r="B70" t="inlineStr">
        <is>
          <t/>
        </is>
      </c>
      <c r="C70" t="inlineStr">
        <is>
          <t/>
        </is>
      </c>
      <c r="D70" t="inlineStr">
        <is>
          <t/>
        </is>
      </c>
      <c r="E70" t="inlineStr">
        <is>
          <t>Po</t>
        </is>
      </c>
    </row>
    <row r="71">
      <c r="A71" t="inlineStr">
        <is>
          <t/>
        </is>
      </c>
      <c r="B71" t="inlineStr">
        <is>
          <t/>
        </is>
      </c>
      <c r="C71" t="inlineStr">
        <is>
          <t/>
        </is>
      </c>
      <c r="D71" t="inlineStr">
        <is>
          <t/>
        </is>
      </c>
      <c r="E71" t="inlineStr">
        <is>
          <t>Po</t>
        </is>
      </c>
    </row>
    <row r="72">
      <c r="A72" t="inlineStr">
        <is>
          <t/>
        </is>
      </c>
      <c r="B72" t="inlineStr">
        <is>
          <t/>
        </is>
      </c>
      <c r="C72" t="inlineStr">
        <is>
          <t/>
        </is>
      </c>
      <c r="D72" t="inlineStr">
        <is>
          <t/>
        </is>
      </c>
      <c r="E72" t="inlineStr">
        <is>
          <t>Po</t>
        </is>
      </c>
    </row>
    <row r="73">
      <c r="A73" t="inlineStr">
        <is>
          <t/>
        </is>
      </c>
      <c r="B73" t="inlineStr">
        <is>
          <t/>
        </is>
      </c>
      <c r="C73" t="inlineStr">
        <is>
          <t/>
        </is>
      </c>
      <c r="D73" t="inlineStr">
        <is>
          <t/>
        </is>
      </c>
      <c r="E73" t="inlineStr">
        <is>
          <t>Po</t>
        </is>
      </c>
    </row>
    <row r="74">
      <c r="A74" t="inlineStr">
        <is>
          <t/>
        </is>
      </c>
      <c r="B74" t="inlineStr">
        <is>
          <t/>
        </is>
      </c>
      <c r="C74" t="inlineStr">
        <is>
          <t/>
        </is>
      </c>
      <c r="D74" t="inlineStr">
        <is>
          <t/>
        </is>
      </c>
      <c r="E74" t="inlineStr">
        <is>
          <t>Po</t>
        </is>
      </c>
    </row>
    <row r="75">
      <c r="A75" t="inlineStr">
        <is>
          <t/>
        </is>
      </c>
      <c r="B75" t="inlineStr">
        <is>
          <t/>
        </is>
      </c>
      <c r="C75" t="inlineStr">
        <is>
          <t/>
        </is>
      </c>
      <c r="D75" t="inlineStr">
        <is>
          <t/>
        </is>
      </c>
      <c r="E75" t="inlineStr">
        <is>
          <t>Po</t>
        </is>
      </c>
    </row>
    <row r="76">
      <c r="A76" t="inlineStr">
        <is>
          <t/>
        </is>
      </c>
      <c r="B76" t="inlineStr">
        <is>
          <t/>
        </is>
      </c>
      <c r="C76" t="inlineStr">
        <is>
          <t/>
        </is>
      </c>
      <c r="D76" t="inlineStr">
        <is>
          <t/>
        </is>
      </c>
      <c r="E76" t="inlineStr">
        <is>
          <t>Po</t>
        </is>
      </c>
    </row>
    <row r="77">
      <c r="A77" t="inlineStr">
        <is>
          <t/>
        </is>
      </c>
      <c r="B77" t="inlineStr">
        <is>
          <t/>
        </is>
      </c>
      <c r="C77" t="inlineStr">
        <is>
          <t/>
        </is>
      </c>
      <c r="D77" t="inlineStr">
        <is>
          <t/>
        </is>
      </c>
      <c r="E77" t="inlineStr">
        <is>
          <t>Po</t>
        </is>
      </c>
    </row>
    <row r="78">
      <c r="A78" t="inlineStr">
        <is>
          <t/>
        </is>
      </c>
      <c r="B78" t="inlineStr">
        <is>
          <t/>
        </is>
      </c>
      <c r="C78" t="inlineStr">
        <is>
          <t/>
        </is>
      </c>
      <c r="D78" t="inlineStr">
        <is>
          <t/>
        </is>
      </c>
      <c r="E78" t="inlineStr">
        <is>
          <t>Po</t>
        </is>
      </c>
    </row>
    <row r="79">
      <c r="A79" t="inlineStr">
        <is>
          <t/>
        </is>
      </c>
      <c r="B79" t="inlineStr">
        <is>
          <t/>
        </is>
      </c>
      <c r="C79" t="inlineStr">
        <is>
          <t/>
        </is>
      </c>
      <c r="D79" t="inlineStr">
        <is>
          <t/>
        </is>
      </c>
      <c r="E79" t="inlineStr">
        <is>
          <t>Po</t>
        </is>
      </c>
    </row>
    <row r="80">
      <c r="A80" t="inlineStr">
        <is>
          <t/>
        </is>
      </c>
      <c r="B80" t="inlineStr">
        <is>
          <t/>
        </is>
      </c>
      <c r="C80" t="inlineStr">
        <is>
          <t/>
        </is>
      </c>
      <c r="D80" t="inlineStr">
        <is>
          <t/>
        </is>
      </c>
      <c r="E80" t="inlineStr">
        <is>
          <t>Po</t>
        </is>
      </c>
    </row>
    <row r="81">
      <c r="A81" t="inlineStr">
        <is>
          <t/>
        </is>
      </c>
      <c r="B81" t="inlineStr">
        <is>
          <t/>
        </is>
      </c>
      <c r="C81" t="inlineStr">
        <is>
          <t/>
        </is>
      </c>
      <c r="D81" t="inlineStr">
        <is>
          <t/>
        </is>
      </c>
      <c r="E81" t="inlineStr">
        <is>
          <t>Po</t>
        </is>
      </c>
    </row>
    <row r="82">
      <c r="A82" t="inlineStr">
        <is>
          <t/>
        </is>
      </c>
      <c r="B82" t="inlineStr">
        <is>
          <t/>
        </is>
      </c>
      <c r="C82" t="inlineStr">
        <is>
          <t/>
        </is>
      </c>
      <c r="D82" t="inlineStr">
        <is>
          <t/>
        </is>
      </c>
      <c r="E82" t="inlineStr">
        <is>
          <t>Po</t>
        </is>
      </c>
    </row>
    <row r="83">
      <c r="A83" t="inlineStr">
        <is>
          <t/>
        </is>
      </c>
      <c r="B83" t="inlineStr">
        <is>
          <t/>
        </is>
      </c>
      <c r="C83" t="inlineStr">
        <is>
          <t/>
        </is>
      </c>
      <c r="D83" t="inlineStr">
        <is>
          <t/>
        </is>
      </c>
      <c r="E83" t="inlineStr">
        <is>
          <t>Po</t>
        </is>
      </c>
    </row>
    <row r="84">
      <c r="A84" t="inlineStr">
        <is>
          <t/>
        </is>
      </c>
      <c r="B84" t="inlineStr">
        <is>
          <t/>
        </is>
      </c>
      <c r="C84" t="inlineStr">
        <is>
          <t/>
        </is>
      </c>
      <c r="D84" t="inlineStr">
        <is>
          <t/>
        </is>
      </c>
      <c r="E84" t="inlineStr">
        <is>
          <t>Po</t>
        </is>
      </c>
    </row>
    <row r="85">
      <c r="A85" t="inlineStr">
        <is>
          <t/>
        </is>
      </c>
      <c r="B85" t="inlineStr">
        <is>
          <t/>
        </is>
      </c>
      <c r="C85" t="inlineStr">
        <is>
          <t/>
        </is>
      </c>
      <c r="D85" t="inlineStr">
        <is>
          <t/>
        </is>
      </c>
      <c r="E85" t="inlineStr">
        <is>
          <t>Po</t>
        </is>
      </c>
    </row>
    <row r="86">
      <c r="A86" t="inlineStr">
        <is>
          <t/>
        </is>
      </c>
      <c r="B86" t="inlineStr">
        <is>
          <t/>
        </is>
      </c>
      <c r="C86" t="inlineStr">
        <is>
          <t/>
        </is>
      </c>
      <c r="D86" t="inlineStr">
        <is>
          <t/>
        </is>
      </c>
      <c r="E86" t="inlineStr">
        <is>
          <t>Po</t>
        </is>
      </c>
    </row>
    <row r="87">
      <c r="A87" t="inlineStr">
        <is>
          <t/>
        </is>
      </c>
      <c r="B87" t="inlineStr">
        <is>
          <t/>
        </is>
      </c>
      <c r="C87" t="inlineStr">
        <is>
          <t/>
        </is>
      </c>
      <c r="D87" t="inlineStr">
        <is>
          <t/>
        </is>
      </c>
      <c r="E87" t="inlineStr">
        <is>
          <t>Po</t>
        </is>
      </c>
    </row>
    <row r="88">
      <c r="A88" t="inlineStr">
        <is>
          <t/>
        </is>
      </c>
      <c r="B88" t="inlineStr">
        <is>
          <t/>
        </is>
      </c>
      <c r="C88" t="inlineStr">
        <is>
          <t/>
        </is>
      </c>
      <c r="D88" t="inlineStr">
        <is>
          <t/>
        </is>
      </c>
      <c r="E88" t="inlineStr">
        <is>
          <t>Po</t>
        </is>
      </c>
    </row>
    <row r="89">
      <c r="A89" t="inlineStr">
        <is>
          <t/>
        </is>
      </c>
      <c r="B89" t="inlineStr">
        <is>
          <t/>
        </is>
      </c>
      <c r="C89" t="inlineStr">
        <is>
          <t/>
        </is>
      </c>
      <c r="D89" t="inlineStr">
        <is>
          <t/>
        </is>
      </c>
      <c r="E89" t="inlineStr">
        <is>
          <t>Po</t>
        </is>
      </c>
    </row>
    <row r="90">
      <c r="A90" t="inlineStr">
        <is>
          <t/>
        </is>
      </c>
      <c r="B90" t="inlineStr">
        <is>
          <t/>
        </is>
      </c>
      <c r="C90" t="inlineStr">
        <is>
          <t/>
        </is>
      </c>
      <c r="D90" t="inlineStr">
        <is>
          <t/>
        </is>
      </c>
      <c r="E90" t="inlineStr">
        <is>
          <t>Po</t>
        </is>
      </c>
    </row>
    <row r="91">
      <c r="A91" t="inlineStr">
        <is>
          <t/>
        </is>
      </c>
      <c r="B91" t="inlineStr">
        <is>
          <t/>
        </is>
      </c>
      <c r="C91" t="inlineStr">
        <is>
          <t/>
        </is>
      </c>
      <c r="D91" t="inlineStr">
        <is>
          <t/>
        </is>
      </c>
      <c r="E91" t="inlineStr">
        <is>
          <t>Po</t>
        </is>
      </c>
    </row>
    <row r="92">
      <c r="A92" t="inlineStr">
        <is>
          <t/>
        </is>
      </c>
      <c r="B92" t="inlineStr">
        <is>
          <t/>
        </is>
      </c>
      <c r="C92" t="inlineStr">
        <is>
          <t/>
        </is>
      </c>
      <c r="D92" t="inlineStr">
        <is>
          <t/>
        </is>
      </c>
      <c r="E92" t="inlineStr">
        <is>
          <t>Po</t>
        </is>
      </c>
    </row>
    <row r="93">
      <c r="A93" t="inlineStr">
        <is>
          <t/>
        </is>
      </c>
      <c r="B93" t="inlineStr">
        <is>
          <t/>
        </is>
      </c>
      <c r="C93" t="inlineStr">
        <is>
          <t/>
        </is>
      </c>
      <c r="D93" t="inlineStr">
        <is>
          <t/>
        </is>
      </c>
      <c r="E93" t="inlineStr">
        <is>
          <t>Po</t>
        </is>
      </c>
    </row>
    <row r="94">
      <c r="A94" t="inlineStr">
        <is>
          <t/>
        </is>
      </c>
      <c r="B94" t="inlineStr">
        <is>
          <t/>
        </is>
      </c>
      <c r="C94" t="inlineStr">
        <is>
          <t/>
        </is>
      </c>
      <c r="D94" t="inlineStr">
        <is>
          <t/>
        </is>
      </c>
      <c r="E94" t="inlineStr">
        <is>
          <t>Po</t>
        </is>
      </c>
    </row>
    <row r="95">
      <c r="A95" t="inlineStr">
        <is>
          <t/>
        </is>
      </c>
      <c r="B95" t="inlineStr">
        <is>
          <t/>
        </is>
      </c>
      <c r="C95" t="inlineStr">
        <is>
          <t/>
        </is>
      </c>
      <c r="D95" t="inlineStr">
        <is>
          <t/>
        </is>
      </c>
      <c r="E95" t="inlineStr">
        <is>
          <t>Po</t>
        </is>
      </c>
    </row>
    <row r="96">
      <c r="A96" t="inlineStr">
        <is>
          <t/>
        </is>
      </c>
      <c r="B96" t="inlineStr">
        <is>
          <t/>
        </is>
      </c>
      <c r="C96" t="inlineStr">
        <is>
          <t/>
        </is>
      </c>
      <c r="D96" t="inlineStr">
        <is>
          <t/>
        </is>
      </c>
      <c r="E96" t="inlineStr">
        <is>
          <t>Po</t>
        </is>
      </c>
    </row>
    <row r="97">
      <c r="A97" t="inlineStr">
        <is>
          <t/>
        </is>
      </c>
      <c r="B97" t="inlineStr">
        <is>
          <t/>
        </is>
      </c>
      <c r="C97" t="inlineStr">
        <is>
          <t/>
        </is>
      </c>
      <c r="D97" t="inlineStr">
        <is>
          <t/>
        </is>
      </c>
      <c r="E97" t="inlineStr">
        <is>
          <t>Po</t>
        </is>
      </c>
    </row>
    <row r="98">
      <c r="A98" t="inlineStr">
        <is>
          <t/>
        </is>
      </c>
      <c r="B98" t="inlineStr">
        <is>
          <t/>
        </is>
      </c>
      <c r="C98" t="inlineStr">
        <is>
          <t/>
        </is>
      </c>
      <c r="D98" t="inlineStr">
        <is>
          <t/>
        </is>
      </c>
      <c r="E98" t="inlineStr">
        <is>
          <t>Po</t>
        </is>
      </c>
    </row>
    <row r="99">
      <c r="A99" t="inlineStr">
        <is>
          <t/>
        </is>
      </c>
      <c r="B99" t="inlineStr">
        <is>
          <t/>
        </is>
      </c>
      <c r="C99" t="inlineStr">
        <is>
          <t/>
        </is>
      </c>
      <c r="D99" t="inlineStr">
        <is>
          <t/>
        </is>
      </c>
      <c r="E99" t="inlineStr">
        <is>
          <t>Po</t>
        </is>
      </c>
    </row>
    <row r="100">
      <c r="A100" t="inlineStr">
        <is>
          <t/>
        </is>
      </c>
      <c r="B100" t="inlineStr">
        <is>
          <t/>
        </is>
      </c>
      <c r="C100" t="inlineStr">
        <is>
          <t/>
        </is>
      </c>
      <c r="D100" t="inlineStr">
        <is>
          <t/>
        </is>
      </c>
      <c r="E100" t="inlineStr">
        <is>
          <t>Po</t>
        </is>
      </c>
    </row>
    <row r="101">
      <c r="A101" t="inlineStr">
        <is>
          <t/>
        </is>
      </c>
      <c r="B101" t="inlineStr">
        <is>
          <t/>
        </is>
      </c>
      <c r="C101" t="inlineStr">
        <is>
          <t/>
        </is>
      </c>
      <c r="D101" t="inlineStr">
        <is>
          <t/>
        </is>
      </c>
      <c r="E101" t="inlineStr">
        <is>
          <t>Po</t>
        </is>
      </c>
    </row>
  </sheetData>
  <pageMargins left="0.3" right="0.3" top="0.5" bottom="0.5" header="0.2" footer="0.2"/>
</worksheet>
</file>

<file path=xl/worksheets/sheet2.xml><?xml version="1.0" encoding="utf-8"?>
<worksheet xmlns="http://schemas.openxmlformats.org/spreadsheetml/2006/main">
  <dimension ref="A1:C10"/>
  <sheetViews>
    <sheetView workbookViewId="0"/>
  </sheetViews>
  <cols>
    <col min="1" max="1" width="28" customWidth="1"/>
    <col min="2" max="2" width="16" customWidth="1"/>
    <col min="3" max="3" width="32" customWidth="1"/>
  </cols>
  <sheetData>
    <row r="1">
      <c r="A1" s="1" t="inlineStr">
        <is>
          <t>Parametri</t>
        </is>
      </c>
      <c r="B1" s="1" t="inlineStr">
        <is>
          <t>Vlera</t>
        </is>
      </c>
      <c r="C1" s="1" t="inlineStr">
        <is>
          <t>Shënim</t>
        </is>
      </c>
    </row>
    <row r="2">
      <c r="A2" t="inlineStr">
        <is>
          <t>SS punonjës %</t>
        </is>
      </c>
      <c r="B2" s="3">
        <v>9.5</v>
      </c>
      <c r="C2" t="inlineStr">
        <is>
          <t>Kontribut pensioni</t>
        </is>
      </c>
    </row>
    <row r="3">
      <c r="A3" t="inlineStr">
        <is>
          <t>SH punonjës %</t>
        </is>
      </c>
      <c r="B3" s="3">
        <v>1.7</v>
      </c>
      <c r="C3" t="inlineStr">
        <is>
          <t>Kontribut shëndetësor</t>
        </is>
      </c>
    </row>
    <row r="4">
      <c r="A4" t="inlineStr">
        <is>
          <t>SS punëdhënës %</t>
        </is>
      </c>
      <c r="B4" s="3">
        <v>15</v>
      </c>
      <c r="C4" t="inlineStr">
        <is>
          <t>Kontribut pensioni</t>
        </is>
      </c>
    </row>
    <row r="5">
      <c r="A5" t="inlineStr">
        <is>
          <t>SH punëdhënës %</t>
        </is>
      </c>
      <c r="B5" s="3">
        <v>1.7</v>
      </c>
      <c r="C5" t="inlineStr">
        <is>
          <t>Kontribut shëndetësor</t>
        </is>
      </c>
    </row>
    <row r="6">
      <c r="A6" t="inlineStr">
        <is>
          <t>Tavan kontributesh</t>
        </is>
      </c>
      <c r="B6" s="3">
        <v>186416</v>
      </c>
      <c r="C6" t="inlineStr">
        <is>
          <t>Ndrysho sipas vitit</t>
        </is>
      </c>
    </row>
    <row r="7">
      <c r="A7" t="inlineStr">
        <is>
          <t>Pragu i parë TAP</t>
        </is>
      </c>
      <c r="B7" s="3">
        <v>40000</v>
      </c>
      <c r="C7" t="inlineStr">
        <is>
          <t/>
        </is>
      </c>
    </row>
    <row r="8">
      <c r="A8" t="inlineStr">
        <is>
          <t>Pragu i dytë TAP</t>
        </is>
      </c>
      <c r="B8" s="3">
        <v>50000</v>
      </c>
      <c r="C8" t="inlineStr">
        <is>
          <t/>
        </is>
      </c>
    </row>
    <row r="9">
      <c r="A9" t="inlineStr">
        <is>
          <t>Norma TAP pragu 1 %</t>
        </is>
      </c>
      <c r="B9" s="3">
        <v>13</v>
      </c>
      <c r="C9" t="inlineStr">
        <is>
          <t/>
        </is>
      </c>
    </row>
    <row r="10">
      <c r="A10" t="inlineStr">
        <is>
          <t>Norma TAP pragu 2 %</t>
        </is>
      </c>
      <c r="B10" s="3">
        <v>23</v>
      </c>
      <c r="C10" t="inlineStr">
        <is>
          <t/>
        </is>
      </c>
    </row>
  </sheetData>
  <pageMargins left="0.3" right="0.3" top="0.5" bottom="0.5" header="0.2" footer="0.2"/>
</worksheet>
</file>

<file path=xl/worksheets/sheet3.xml><?xml version="1.0" encoding="utf-8"?>
<worksheet xmlns="http://schemas.openxmlformats.org/spreadsheetml/2006/main">
  <dimension ref="A1:R101"/>
  <sheetViews>
    <sheetView workbookViewId="0"/>
  </sheetViews>
  <cols>
    <col min="1" max="1" width="25" customWidth="1"/>
    <col min="2" max="2" width="18" customWidth="1"/>
    <col min="3" max="3" width="20" customWidth="1"/>
    <col min="4" max="4" width="8" customWidth="1"/>
    <col min="5" max="5" width="14" customWidth="1"/>
    <col min="6" max="6" width="12" customWidth="1"/>
    <col min="7" max="7" width="12" customWidth="1"/>
    <col min="8" max="8" width="12" customWidth="1"/>
    <col min="9" max="9" width="14" customWidth="1"/>
    <col min="10" max="10" width="14" customWidth="1"/>
    <col min="11" max="11" width="14" customWidth="1"/>
    <col min="12" max="12" width="14" customWidth="1"/>
    <col min="13" max="13" width="16" customWidth="1"/>
    <col min="14" max="14" width="14" customWidth="1"/>
    <col min="15" max="15" width="14" customWidth="1"/>
    <col min="16" max="16" width="16" customWidth="1"/>
    <col min="17" max="17" width="16" customWidth="1"/>
    <col min="18" max="18" width="16" customWidth="1"/>
  </cols>
  <sheetData>
    <row r="1">
      <c r="A1" s="1" t="inlineStr">
        <is>
          <t>Emri</t>
        </is>
      </c>
      <c r="B1" s="1" t="inlineStr">
        <is>
          <t>Nr. personal</t>
        </is>
      </c>
      <c r="C1" s="1" t="inlineStr">
        <is>
          <t>Pozicioni</t>
        </is>
      </c>
      <c r="D1" s="1" t="inlineStr">
        <is>
          <t>Ditë</t>
        </is>
      </c>
      <c r="E1" s="1" t="inlineStr">
        <is>
          <t>Paga bazë</t>
        </is>
      </c>
      <c r="F1" s="1" t="inlineStr">
        <is>
          <t>Shtesa</t>
        </is>
      </c>
      <c r="G1" s="1" t="inlineStr">
        <is>
          <t>Orë shtesë</t>
        </is>
      </c>
      <c r="H1" s="1" t="inlineStr">
        <is>
          <t>Çmim/orë</t>
        </is>
      </c>
      <c r="I1" s="1" t="inlineStr">
        <is>
          <t>Shpërblim</t>
        </is>
      </c>
      <c r="J1" s="1" t="inlineStr">
        <is>
          <t>Bruto</t>
        </is>
      </c>
      <c r="K1" s="1" t="inlineStr">
        <is>
          <t>SS punonjës</t>
        </is>
      </c>
      <c r="L1" s="1" t="inlineStr">
        <is>
          <t>SH punonjës</t>
        </is>
      </c>
      <c r="M1" s="1" t="inlineStr">
        <is>
          <t>Paga tatueshme</t>
        </is>
      </c>
      <c r="N1" s="1" t="inlineStr">
        <is>
          <t>TAP</t>
        </is>
      </c>
      <c r="O1" s="1" t="inlineStr">
        <is>
          <t>Neto</t>
        </is>
      </c>
      <c r="P1" s="1" t="inlineStr">
        <is>
          <t>SS punëdhënës</t>
        </is>
      </c>
      <c r="Q1" s="1" t="inlineStr">
        <is>
          <t>SH punëdhënës</t>
        </is>
      </c>
      <c r="R1" s="1" t="inlineStr">
        <is>
          <t>Kosto totale</t>
        </is>
      </c>
    </row>
    <row r="2">
      <c r="A2" s="2">
        <f>=IF('Punonjësit'!A2="","",'Punonjësit'!A2)</f>
        <v/>
      </c>
      <c r="B2" s="2">
        <f>=IF(A2="","",'Punonjësit'!B2)</f>
        <v/>
      </c>
      <c r="C2" s="2">
        <f>=IF(A2="","",'Punonjësit'!C2)</f>
        <v/>
      </c>
      <c r="D2" s="3">
        <f>'Orari 31 Ditë'!AH2</f>
        <v/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2">
        <f>=IF(A2="",0,E2+F2+G2*H2+I2)</f>
        <v/>
      </c>
      <c r="K2" s="2">
        <f>=MIN(J2,Parametrat!$B$6)*Parametrat!$B$2/100</f>
        <v/>
      </c>
      <c r="L2" s="2">
        <f>=J2*Parametrat!$B$3/100</f>
        <v/>
      </c>
      <c r="M2" s="2">
        <f>=MAX(0,J2-K2-L2)</f>
        <v/>
      </c>
      <c r="N2" s="2">
        <f>=IF(M2&lt;=Parametrat!$B$7,0,IF(M2&lt;=Parametrat!$B$8,(M2-Parametrat!$B$7)*Parametrat!$B$9/100,(Parametrat!$B$8-Parametrat!$B$7)*Parametrat!$B$9/100+(M2-Parametrat!$B$8)*Parametrat!$B$10/100))</f>
        <v/>
      </c>
      <c r="O2" s="2">
        <f>=J2-K2-L2-N2</f>
        <v/>
      </c>
      <c r="P2" s="2">
        <f>=MIN(J2,Parametrat!$B$6)*Parametrat!$B$4/100</f>
        <v/>
      </c>
      <c r="Q2" s="2">
        <f>=J2*Parametrat!$B$5/100</f>
        <v/>
      </c>
      <c r="R2" s="2">
        <f>=J2+P2+Q2</f>
        <v/>
      </c>
    </row>
    <row r="3">
      <c r="A3" s="2">
        <f>=IF('Punonjësit'!A3="","",'Punonjësit'!A3)</f>
        <v/>
      </c>
      <c r="B3" s="2">
        <f>=IF(A3="","",'Punonjësit'!B3)</f>
        <v/>
      </c>
      <c r="C3" s="2">
        <f>=IF(A3="","",'Punonjësit'!C3)</f>
        <v/>
      </c>
      <c r="D3" s="3">
        <f>'Orari 31 Ditë'!AH3</f>
        <v/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2">
        <f>=IF(A3="",0,E3+F3+G3*H3+I3)</f>
        <v/>
      </c>
      <c r="K3" s="2">
        <f>=MIN(J3,Parametrat!$B$6)*Parametrat!$B$2/100</f>
        <v/>
      </c>
      <c r="L3" s="2">
        <f>=J3*Parametrat!$B$3/100</f>
        <v/>
      </c>
      <c r="M3" s="2">
        <f>=MAX(0,J3-K3-L3)</f>
        <v/>
      </c>
      <c r="N3" s="2">
        <f>=IF(M3&lt;=Parametrat!$B$7,0,IF(M3&lt;=Parametrat!$B$8,(M3-Parametrat!$B$7)*Parametrat!$B$9/100,(Parametrat!$B$8-Parametrat!$B$7)*Parametrat!$B$9/100+(M3-Parametrat!$B$8)*Parametrat!$B$10/100))</f>
        <v/>
      </c>
      <c r="O3" s="2">
        <f>=J3-K3-L3-N3</f>
        <v/>
      </c>
      <c r="P3" s="2">
        <f>=MIN(J3,Parametrat!$B$6)*Parametrat!$B$4/100</f>
        <v/>
      </c>
      <c r="Q3" s="2">
        <f>=J3*Parametrat!$B$5/100</f>
        <v/>
      </c>
      <c r="R3" s="2">
        <f>=J3+P3+Q3</f>
        <v/>
      </c>
    </row>
    <row r="4">
      <c r="A4" s="2">
        <f>=IF('Punonjësit'!A4="","",'Punonjësit'!A4)</f>
        <v/>
      </c>
      <c r="B4" s="2">
        <f>=IF(A4="","",'Punonjësit'!B4)</f>
        <v/>
      </c>
      <c r="C4" s="2">
        <f>=IF(A4="","",'Punonjësit'!C4)</f>
        <v/>
      </c>
      <c r="D4" s="3">
        <f>'Orari 31 Ditë'!AH4</f>
        <v/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2">
        <f>=IF(A4="",0,E4+F4+G4*H4+I4)</f>
        <v/>
      </c>
      <c r="K4" s="2">
        <f>=MIN(J4,Parametrat!$B$6)*Parametrat!$B$2/100</f>
        <v/>
      </c>
      <c r="L4" s="2">
        <f>=J4*Parametrat!$B$3/100</f>
        <v/>
      </c>
      <c r="M4" s="2">
        <f>=MAX(0,J4-K4-L4)</f>
        <v/>
      </c>
      <c r="N4" s="2">
        <f>=IF(M4&lt;=Parametrat!$B$7,0,IF(M4&lt;=Parametrat!$B$8,(M4-Parametrat!$B$7)*Parametrat!$B$9/100,(Parametrat!$B$8-Parametrat!$B$7)*Parametrat!$B$9/100+(M4-Parametrat!$B$8)*Parametrat!$B$10/100))</f>
        <v/>
      </c>
      <c r="O4" s="2">
        <f>=J4-K4-L4-N4</f>
        <v/>
      </c>
      <c r="P4" s="2">
        <f>=MIN(J4,Parametrat!$B$6)*Parametrat!$B$4/100</f>
        <v/>
      </c>
      <c r="Q4" s="2">
        <f>=J4*Parametrat!$B$5/100</f>
        <v/>
      </c>
      <c r="R4" s="2">
        <f>=J4+P4+Q4</f>
        <v/>
      </c>
    </row>
    <row r="5">
      <c r="A5" s="2">
        <f>=IF('Punonjësit'!A5="","",'Punonjësit'!A5)</f>
        <v/>
      </c>
      <c r="B5" s="2">
        <f>=IF(A5="","",'Punonjësit'!B5)</f>
        <v/>
      </c>
      <c r="C5" s="2">
        <f>=IF(A5="","",'Punonjësit'!C5)</f>
        <v/>
      </c>
      <c r="D5" s="3">
        <f>'Orari 31 Ditë'!AH5</f>
        <v/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2">
        <f>=IF(A5="",0,E5+F5+G5*H5+I5)</f>
        <v/>
      </c>
      <c r="K5" s="2">
        <f>=MIN(J5,Parametrat!$B$6)*Parametrat!$B$2/100</f>
        <v/>
      </c>
      <c r="L5" s="2">
        <f>=J5*Parametrat!$B$3/100</f>
        <v/>
      </c>
      <c r="M5" s="2">
        <f>=MAX(0,J5-K5-L5)</f>
        <v/>
      </c>
      <c r="N5" s="2">
        <f>=IF(M5&lt;=Parametrat!$B$7,0,IF(M5&lt;=Parametrat!$B$8,(M5-Parametrat!$B$7)*Parametrat!$B$9/100,(Parametrat!$B$8-Parametrat!$B$7)*Parametrat!$B$9/100+(M5-Parametrat!$B$8)*Parametrat!$B$10/100))</f>
        <v/>
      </c>
      <c r="O5" s="2">
        <f>=J5-K5-L5-N5</f>
        <v/>
      </c>
      <c r="P5" s="2">
        <f>=MIN(J5,Parametrat!$B$6)*Parametrat!$B$4/100</f>
        <v/>
      </c>
      <c r="Q5" s="2">
        <f>=J5*Parametrat!$B$5/100</f>
        <v/>
      </c>
      <c r="R5" s="2">
        <f>=J5+P5+Q5</f>
        <v/>
      </c>
    </row>
    <row r="6">
      <c r="A6" s="2">
        <f>=IF('Punonjësit'!A6="","",'Punonjësit'!A6)</f>
        <v/>
      </c>
      <c r="B6" s="2">
        <f>=IF(A6="","",'Punonjësit'!B6)</f>
        <v/>
      </c>
      <c r="C6" s="2">
        <f>=IF(A6="","",'Punonjësit'!C6)</f>
        <v/>
      </c>
      <c r="D6" s="3">
        <f>'Orari 31 Ditë'!AH6</f>
        <v/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2">
        <f>=IF(A6="",0,E6+F6+G6*H6+I6)</f>
        <v/>
      </c>
      <c r="K6" s="2">
        <f>=MIN(J6,Parametrat!$B$6)*Parametrat!$B$2/100</f>
        <v/>
      </c>
      <c r="L6" s="2">
        <f>=J6*Parametrat!$B$3/100</f>
        <v/>
      </c>
      <c r="M6" s="2">
        <f>=MAX(0,J6-K6-L6)</f>
        <v/>
      </c>
      <c r="N6" s="2">
        <f>=IF(M6&lt;=Parametrat!$B$7,0,IF(M6&lt;=Parametrat!$B$8,(M6-Parametrat!$B$7)*Parametrat!$B$9/100,(Parametrat!$B$8-Parametrat!$B$7)*Parametrat!$B$9/100+(M6-Parametrat!$B$8)*Parametrat!$B$10/100))</f>
        <v/>
      </c>
      <c r="O6" s="2">
        <f>=J6-K6-L6-N6</f>
        <v/>
      </c>
      <c r="P6" s="2">
        <f>=MIN(J6,Parametrat!$B$6)*Parametrat!$B$4/100</f>
        <v/>
      </c>
      <c r="Q6" s="2">
        <f>=J6*Parametrat!$B$5/100</f>
        <v/>
      </c>
      <c r="R6" s="2">
        <f>=J6+P6+Q6</f>
        <v/>
      </c>
    </row>
    <row r="7">
      <c r="A7" s="2">
        <f>=IF('Punonjësit'!A7="","",'Punonjësit'!A7)</f>
        <v/>
      </c>
      <c r="B7" s="2">
        <f>=IF(A7="","",'Punonjësit'!B7)</f>
        <v/>
      </c>
      <c r="C7" s="2">
        <f>=IF(A7="","",'Punonjësit'!C7)</f>
        <v/>
      </c>
      <c r="D7" s="3">
        <f>'Orari 31 Ditë'!AH7</f>
        <v/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2">
        <f>=IF(A7="",0,E7+F7+G7*H7+I7)</f>
        <v/>
      </c>
      <c r="K7" s="2">
        <f>=MIN(J7,Parametrat!$B$6)*Parametrat!$B$2/100</f>
        <v/>
      </c>
      <c r="L7" s="2">
        <f>=J7*Parametrat!$B$3/100</f>
        <v/>
      </c>
      <c r="M7" s="2">
        <f>=MAX(0,J7-K7-L7)</f>
        <v/>
      </c>
      <c r="N7" s="2">
        <f>=IF(M7&lt;=Parametrat!$B$7,0,IF(M7&lt;=Parametrat!$B$8,(M7-Parametrat!$B$7)*Parametrat!$B$9/100,(Parametrat!$B$8-Parametrat!$B$7)*Parametrat!$B$9/100+(M7-Parametrat!$B$8)*Parametrat!$B$10/100))</f>
        <v/>
      </c>
      <c r="O7" s="2">
        <f>=J7-K7-L7-N7</f>
        <v/>
      </c>
      <c r="P7" s="2">
        <f>=MIN(J7,Parametrat!$B$6)*Parametrat!$B$4/100</f>
        <v/>
      </c>
      <c r="Q7" s="2">
        <f>=J7*Parametrat!$B$5/100</f>
        <v/>
      </c>
      <c r="R7" s="2">
        <f>=J7+P7+Q7</f>
        <v/>
      </c>
    </row>
    <row r="8">
      <c r="A8" s="2">
        <f>=IF('Punonjësit'!A8="","",'Punonjësit'!A8)</f>
        <v/>
      </c>
      <c r="B8" s="2">
        <f>=IF(A8="","",'Punonjësit'!B8)</f>
        <v/>
      </c>
      <c r="C8" s="2">
        <f>=IF(A8="","",'Punonjësit'!C8)</f>
        <v/>
      </c>
      <c r="D8" s="3">
        <f>'Orari 31 Ditë'!AH8</f>
        <v/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2">
        <f>=IF(A8="",0,E8+F8+G8*H8+I8)</f>
        <v/>
      </c>
      <c r="K8" s="2">
        <f>=MIN(J8,Parametrat!$B$6)*Parametrat!$B$2/100</f>
        <v/>
      </c>
      <c r="L8" s="2">
        <f>=J8*Parametrat!$B$3/100</f>
        <v/>
      </c>
      <c r="M8" s="2">
        <f>=MAX(0,J8-K8-L8)</f>
        <v/>
      </c>
      <c r="N8" s="2">
        <f>=IF(M8&lt;=Parametrat!$B$7,0,IF(M8&lt;=Parametrat!$B$8,(M8-Parametrat!$B$7)*Parametrat!$B$9/100,(Parametrat!$B$8-Parametrat!$B$7)*Parametrat!$B$9/100+(M8-Parametrat!$B$8)*Parametrat!$B$10/100))</f>
        <v/>
      </c>
      <c r="O8" s="2">
        <f>=J8-K8-L8-N8</f>
        <v/>
      </c>
      <c r="P8" s="2">
        <f>=MIN(J8,Parametrat!$B$6)*Parametrat!$B$4/100</f>
        <v/>
      </c>
      <c r="Q8" s="2">
        <f>=J8*Parametrat!$B$5/100</f>
        <v/>
      </c>
      <c r="R8" s="2">
        <f>=J8+P8+Q8</f>
        <v/>
      </c>
    </row>
    <row r="9">
      <c r="A9" s="2">
        <f>=IF('Punonjësit'!A9="","",'Punonjësit'!A9)</f>
        <v/>
      </c>
      <c r="B9" s="2">
        <f>=IF(A9="","",'Punonjësit'!B9)</f>
        <v/>
      </c>
      <c r="C9" s="2">
        <f>=IF(A9="","",'Punonjësit'!C9)</f>
        <v/>
      </c>
      <c r="D9" s="3">
        <f>'Orari 31 Ditë'!AH9</f>
        <v/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2">
        <f>=IF(A9="",0,E9+F9+G9*H9+I9)</f>
        <v/>
      </c>
      <c r="K9" s="2">
        <f>=MIN(J9,Parametrat!$B$6)*Parametrat!$B$2/100</f>
        <v/>
      </c>
      <c r="L9" s="2">
        <f>=J9*Parametrat!$B$3/100</f>
        <v/>
      </c>
      <c r="M9" s="2">
        <f>=MAX(0,J9-K9-L9)</f>
        <v/>
      </c>
      <c r="N9" s="2">
        <f>=IF(M9&lt;=Parametrat!$B$7,0,IF(M9&lt;=Parametrat!$B$8,(M9-Parametrat!$B$7)*Parametrat!$B$9/100,(Parametrat!$B$8-Parametrat!$B$7)*Parametrat!$B$9/100+(M9-Parametrat!$B$8)*Parametrat!$B$10/100))</f>
        <v/>
      </c>
      <c r="O9" s="2">
        <f>=J9-K9-L9-N9</f>
        <v/>
      </c>
      <c r="P9" s="2">
        <f>=MIN(J9,Parametrat!$B$6)*Parametrat!$B$4/100</f>
        <v/>
      </c>
      <c r="Q9" s="2">
        <f>=J9*Parametrat!$B$5/100</f>
        <v/>
      </c>
      <c r="R9" s="2">
        <f>=J9+P9+Q9</f>
        <v/>
      </c>
    </row>
    <row r="10">
      <c r="A10" s="2">
        <f>=IF('Punonjësit'!A10="","",'Punonjësit'!A10)</f>
        <v/>
      </c>
      <c r="B10" s="2">
        <f>=IF(A10="","",'Punonjësit'!B10)</f>
        <v/>
      </c>
      <c r="C10" s="2">
        <f>=IF(A10="","",'Punonjësit'!C10)</f>
        <v/>
      </c>
      <c r="D10" s="3">
        <f>'Orari 31 Ditë'!AH10</f>
        <v/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2">
        <f>=IF(A10="",0,E10+F10+G10*H10+I10)</f>
        <v/>
      </c>
      <c r="K10" s="2">
        <f>=MIN(J10,Parametrat!$B$6)*Parametrat!$B$2/100</f>
        <v/>
      </c>
      <c r="L10" s="2">
        <f>=J10*Parametrat!$B$3/100</f>
        <v/>
      </c>
      <c r="M10" s="2">
        <f>=MAX(0,J10-K10-L10)</f>
        <v/>
      </c>
      <c r="N10" s="2">
        <f>=IF(M10&lt;=Parametrat!$B$7,0,IF(M10&lt;=Parametrat!$B$8,(M10-Parametrat!$B$7)*Parametrat!$B$9/100,(Parametrat!$B$8-Parametrat!$B$7)*Parametrat!$B$9/100+(M10-Parametrat!$B$8)*Parametrat!$B$10/100))</f>
        <v/>
      </c>
      <c r="O10" s="2">
        <f>=J10-K10-L10-N10</f>
        <v/>
      </c>
      <c r="P10" s="2">
        <f>=MIN(J10,Parametrat!$B$6)*Parametrat!$B$4/100</f>
        <v/>
      </c>
      <c r="Q10" s="2">
        <f>=J10*Parametrat!$B$5/100</f>
        <v/>
      </c>
      <c r="R10" s="2">
        <f>=J10+P10+Q10</f>
        <v/>
      </c>
    </row>
    <row r="11">
      <c r="A11" s="2">
        <f>=IF('Punonjësit'!A11="","",'Punonjësit'!A11)</f>
        <v/>
      </c>
      <c r="B11" s="2">
        <f>=IF(A11="","",'Punonjësit'!B11)</f>
        <v/>
      </c>
      <c r="C11" s="2">
        <f>=IF(A11="","",'Punonjësit'!C11)</f>
        <v/>
      </c>
      <c r="D11" s="3">
        <f>'Orari 31 Ditë'!AH11</f>
        <v/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2">
        <f>=IF(A11="",0,E11+F11+G11*H11+I11)</f>
        <v/>
      </c>
      <c r="K11" s="2">
        <f>=MIN(J11,Parametrat!$B$6)*Parametrat!$B$2/100</f>
        <v/>
      </c>
      <c r="L11" s="2">
        <f>=J11*Parametrat!$B$3/100</f>
        <v/>
      </c>
      <c r="M11" s="2">
        <f>=MAX(0,J11-K11-L11)</f>
        <v/>
      </c>
      <c r="N11" s="2">
        <f>=IF(M11&lt;=Parametrat!$B$7,0,IF(M11&lt;=Parametrat!$B$8,(M11-Parametrat!$B$7)*Parametrat!$B$9/100,(Parametrat!$B$8-Parametrat!$B$7)*Parametrat!$B$9/100+(M11-Parametrat!$B$8)*Parametrat!$B$10/100))</f>
        <v/>
      </c>
      <c r="O11" s="2">
        <f>=J11-K11-L11-N11</f>
        <v/>
      </c>
      <c r="P11" s="2">
        <f>=MIN(J11,Parametrat!$B$6)*Parametrat!$B$4/100</f>
        <v/>
      </c>
      <c r="Q11" s="2">
        <f>=J11*Parametrat!$B$5/100</f>
        <v/>
      </c>
      <c r="R11" s="2">
        <f>=J11+P11+Q11</f>
        <v/>
      </c>
    </row>
    <row r="12">
      <c r="A12" s="2">
        <f>=IF('Punonjësit'!A12="","",'Punonjësit'!A12)</f>
        <v/>
      </c>
      <c r="B12" s="2">
        <f>=IF(A12="","",'Punonjësit'!B12)</f>
        <v/>
      </c>
      <c r="C12" s="2">
        <f>=IF(A12="","",'Punonjësit'!C12)</f>
        <v/>
      </c>
      <c r="D12" s="3">
        <f>'Orari 31 Ditë'!AH12</f>
        <v/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2">
        <f>=IF(A12="",0,E12+F12+G12*H12+I12)</f>
        <v/>
      </c>
      <c r="K12" s="2">
        <f>=MIN(J12,Parametrat!$B$6)*Parametrat!$B$2/100</f>
        <v/>
      </c>
      <c r="L12" s="2">
        <f>=J12*Parametrat!$B$3/100</f>
        <v/>
      </c>
      <c r="M12" s="2">
        <f>=MAX(0,J12-K12-L12)</f>
        <v/>
      </c>
      <c r="N12" s="2">
        <f>=IF(M12&lt;=Parametrat!$B$7,0,IF(M12&lt;=Parametrat!$B$8,(M12-Parametrat!$B$7)*Parametrat!$B$9/100,(Parametrat!$B$8-Parametrat!$B$7)*Parametrat!$B$9/100+(M12-Parametrat!$B$8)*Parametrat!$B$10/100))</f>
        <v/>
      </c>
      <c r="O12" s="2">
        <f>=J12-K12-L12-N12</f>
        <v/>
      </c>
      <c r="P12" s="2">
        <f>=MIN(J12,Parametrat!$B$6)*Parametrat!$B$4/100</f>
        <v/>
      </c>
      <c r="Q12" s="2">
        <f>=J12*Parametrat!$B$5/100</f>
        <v/>
      </c>
      <c r="R12" s="2">
        <f>=J12+P12+Q12</f>
        <v/>
      </c>
    </row>
    <row r="13">
      <c r="A13" s="2">
        <f>=IF('Punonjësit'!A13="","",'Punonjësit'!A13)</f>
        <v/>
      </c>
      <c r="B13" s="2">
        <f>=IF(A13="","",'Punonjësit'!B13)</f>
        <v/>
      </c>
      <c r="C13" s="2">
        <f>=IF(A13="","",'Punonjësit'!C13)</f>
        <v/>
      </c>
      <c r="D13" s="3">
        <f>'Orari 31 Ditë'!AH13</f>
        <v/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2">
        <f>=IF(A13="",0,E13+F13+G13*H13+I13)</f>
        <v/>
      </c>
      <c r="K13" s="2">
        <f>=MIN(J13,Parametrat!$B$6)*Parametrat!$B$2/100</f>
        <v/>
      </c>
      <c r="L13" s="2">
        <f>=J13*Parametrat!$B$3/100</f>
        <v/>
      </c>
      <c r="M13" s="2">
        <f>=MAX(0,J13-K13-L13)</f>
        <v/>
      </c>
      <c r="N13" s="2">
        <f>=IF(M13&lt;=Parametrat!$B$7,0,IF(M13&lt;=Parametrat!$B$8,(M13-Parametrat!$B$7)*Parametrat!$B$9/100,(Parametrat!$B$8-Parametrat!$B$7)*Parametrat!$B$9/100+(M13-Parametrat!$B$8)*Parametrat!$B$10/100))</f>
        <v/>
      </c>
      <c r="O13" s="2">
        <f>=J13-K13-L13-N13</f>
        <v/>
      </c>
      <c r="P13" s="2">
        <f>=MIN(J13,Parametrat!$B$6)*Parametrat!$B$4/100</f>
        <v/>
      </c>
      <c r="Q13" s="2">
        <f>=J13*Parametrat!$B$5/100</f>
        <v/>
      </c>
      <c r="R13" s="2">
        <f>=J13+P13+Q13</f>
        <v/>
      </c>
    </row>
    <row r="14">
      <c r="A14" s="2">
        <f>=IF('Punonjësit'!A14="","",'Punonjësit'!A14)</f>
        <v/>
      </c>
      <c r="B14" s="2">
        <f>=IF(A14="","",'Punonjësit'!B14)</f>
        <v/>
      </c>
      <c r="C14" s="2">
        <f>=IF(A14="","",'Punonjësit'!C14)</f>
        <v/>
      </c>
      <c r="D14" s="3">
        <f>'Orari 31 Ditë'!AH14</f>
        <v/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2">
        <f>=IF(A14="",0,E14+F14+G14*H14+I14)</f>
        <v/>
      </c>
      <c r="K14" s="2">
        <f>=MIN(J14,Parametrat!$B$6)*Parametrat!$B$2/100</f>
        <v/>
      </c>
      <c r="L14" s="2">
        <f>=J14*Parametrat!$B$3/100</f>
        <v/>
      </c>
      <c r="M14" s="2">
        <f>=MAX(0,J14-K14-L14)</f>
        <v/>
      </c>
      <c r="N14" s="2">
        <f>=IF(M14&lt;=Parametrat!$B$7,0,IF(M14&lt;=Parametrat!$B$8,(M14-Parametrat!$B$7)*Parametrat!$B$9/100,(Parametrat!$B$8-Parametrat!$B$7)*Parametrat!$B$9/100+(M14-Parametrat!$B$8)*Parametrat!$B$10/100))</f>
        <v/>
      </c>
      <c r="O14" s="2">
        <f>=J14-K14-L14-N14</f>
        <v/>
      </c>
      <c r="P14" s="2">
        <f>=MIN(J14,Parametrat!$B$6)*Parametrat!$B$4/100</f>
        <v/>
      </c>
      <c r="Q14" s="2">
        <f>=J14*Parametrat!$B$5/100</f>
        <v/>
      </c>
      <c r="R14" s="2">
        <f>=J14+P14+Q14</f>
        <v/>
      </c>
    </row>
    <row r="15">
      <c r="A15" s="2">
        <f>=IF('Punonjësit'!A15="","",'Punonjësit'!A15)</f>
        <v/>
      </c>
      <c r="B15" s="2">
        <f>=IF(A15="","",'Punonjësit'!B15)</f>
        <v/>
      </c>
      <c r="C15" s="2">
        <f>=IF(A15="","",'Punonjësit'!C15)</f>
        <v/>
      </c>
      <c r="D15" s="3">
        <f>'Orari 31 Ditë'!AH15</f>
        <v/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2">
        <f>=IF(A15="",0,E15+F15+G15*H15+I15)</f>
        <v/>
      </c>
      <c r="K15" s="2">
        <f>=MIN(J15,Parametrat!$B$6)*Parametrat!$B$2/100</f>
        <v/>
      </c>
      <c r="L15" s="2">
        <f>=J15*Parametrat!$B$3/100</f>
        <v/>
      </c>
      <c r="M15" s="2">
        <f>=MAX(0,J15-K15-L15)</f>
        <v/>
      </c>
      <c r="N15" s="2">
        <f>=IF(M15&lt;=Parametrat!$B$7,0,IF(M15&lt;=Parametrat!$B$8,(M15-Parametrat!$B$7)*Parametrat!$B$9/100,(Parametrat!$B$8-Parametrat!$B$7)*Parametrat!$B$9/100+(M15-Parametrat!$B$8)*Parametrat!$B$10/100))</f>
        <v/>
      </c>
      <c r="O15" s="2">
        <f>=J15-K15-L15-N15</f>
        <v/>
      </c>
      <c r="P15" s="2">
        <f>=MIN(J15,Parametrat!$B$6)*Parametrat!$B$4/100</f>
        <v/>
      </c>
      <c r="Q15" s="2">
        <f>=J15*Parametrat!$B$5/100</f>
        <v/>
      </c>
      <c r="R15" s="2">
        <f>=J15+P15+Q15</f>
        <v/>
      </c>
    </row>
    <row r="16">
      <c r="A16" s="2">
        <f>=IF('Punonjësit'!A16="","",'Punonjësit'!A16)</f>
        <v/>
      </c>
      <c r="B16" s="2">
        <f>=IF(A16="","",'Punonjësit'!B16)</f>
        <v/>
      </c>
      <c r="C16" s="2">
        <f>=IF(A16="","",'Punonjësit'!C16)</f>
        <v/>
      </c>
      <c r="D16" s="3">
        <f>'Orari 31 Ditë'!AH16</f>
        <v/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2">
        <f>=IF(A16="",0,E16+F16+G16*H16+I16)</f>
        <v/>
      </c>
      <c r="K16" s="2">
        <f>=MIN(J16,Parametrat!$B$6)*Parametrat!$B$2/100</f>
        <v/>
      </c>
      <c r="L16" s="2">
        <f>=J16*Parametrat!$B$3/100</f>
        <v/>
      </c>
      <c r="M16" s="2">
        <f>=MAX(0,J16-K16-L16)</f>
        <v/>
      </c>
      <c r="N16" s="2">
        <f>=IF(M16&lt;=Parametrat!$B$7,0,IF(M16&lt;=Parametrat!$B$8,(M16-Parametrat!$B$7)*Parametrat!$B$9/100,(Parametrat!$B$8-Parametrat!$B$7)*Parametrat!$B$9/100+(M16-Parametrat!$B$8)*Parametrat!$B$10/100))</f>
        <v/>
      </c>
      <c r="O16" s="2">
        <f>=J16-K16-L16-N16</f>
        <v/>
      </c>
      <c r="P16" s="2">
        <f>=MIN(J16,Parametrat!$B$6)*Parametrat!$B$4/100</f>
        <v/>
      </c>
      <c r="Q16" s="2">
        <f>=J16*Parametrat!$B$5/100</f>
        <v/>
      </c>
      <c r="R16" s="2">
        <f>=J16+P16+Q16</f>
        <v/>
      </c>
    </row>
    <row r="17">
      <c r="A17" s="2">
        <f>=IF('Punonjësit'!A17="","",'Punonjësit'!A17)</f>
        <v/>
      </c>
      <c r="B17" s="2">
        <f>=IF(A17="","",'Punonjësit'!B17)</f>
        <v/>
      </c>
      <c r="C17" s="2">
        <f>=IF(A17="","",'Punonjësit'!C17)</f>
        <v/>
      </c>
      <c r="D17" s="3">
        <f>'Orari 31 Ditë'!AH17</f>
        <v/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2">
        <f>=IF(A17="",0,E17+F17+G17*H17+I17)</f>
        <v/>
      </c>
      <c r="K17" s="2">
        <f>=MIN(J17,Parametrat!$B$6)*Parametrat!$B$2/100</f>
        <v/>
      </c>
      <c r="L17" s="2">
        <f>=J17*Parametrat!$B$3/100</f>
        <v/>
      </c>
      <c r="M17" s="2">
        <f>=MAX(0,J17-K17-L17)</f>
        <v/>
      </c>
      <c r="N17" s="2">
        <f>=IF(M17&lt;=Parametrat!$B$7,0,IF(M17&lt;=Parametrat!$B$8,(M17-Parametrat!$B$7)*Parametrat!$B$9/100,(Parametrat!$B$8-Parametrat!$B$7)*Parametrat!$B$9/100+(M17-Parametrat!$B$8)*Parametrat!$B$10/100))</f>
        <v/>
      </c>
      <c r="O17" s="2">
        <f>=J17-K17-L17-N17</f>
        <v/>
      </c>
      <c r="P17" s="2">
        <f>=MIN(J17,Parametrat!$B$6)*Parametrat!$B$4/100</f>
        <v/>
      </c>
      <c r="Q17" s="2">
        <f>=J17*Parametrat!$B$5/100</f>
        <v/>
      </c>
      <c r="R17" s="2">
        <f>=J17+P17+Q17</f>
        <v/>
      </c>
    </row>
    <row r="18">
      <c r="A18" s="2">
        <f>=IF('Punonjësit'!A18="","",'Punonjësit'!A18)</f>
        <v/>
      </c>
      <c r="B18" s="2">
        <f>=IF(A18="","",'Punonjësit'!B18)</f>
        <v/>
      </c>
      <c r="C18" s="2">
        <f>=IF(A18="","",'Punonjësit'!C18)</f>
        <v/>
      </c>
      <c r="D18" s="3">
        <f>'Orari 31 Ditë'!AH18</f>
        <v/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2">
        <f>=IF(A18="",0,E18+F18+G18*H18+I18)</f>
        <v/>
      </c>
      <c r="K18" s="2">
        <f>=MIN(J18,Parametrat!$B$6)*Parametrat!$B$2/100</f>
        <v/>
      </c>
      <c r="L18" s="2">
        <f>=J18*Parametrat!$B$3/100</f>
        <v/>
      </c>
      <c r="M18" s="2">
        <f>=MAX(0,J18-K18-L18)</f>
        <v/>
      </c>
      <c r="N18" s="2">
        <f>=IF(M18&lt;=Parametrat!$B$7,0,IF(M18&lt;=Parametrat!$B$8,(M18-Parametrat!$B$7)*Parametrat!$B$9/100,(Parametrat!$B$8-Parametrat!$B$7)*Parametrat!$B$9/100+(M18-Parametrat!$B$8)*Parametrat!$B$10/100))</f>
        <v/>
      </c>
      <c r="O18" s="2">
        <f>=J18-K18-L18-N18</f>
        <v/>
      </c>
      <c r="P18" s="2">
        <f>=MIN(J18,Parametrat!$B$6)*Parametrat!$B$4/100</f>
        <v/>
      </c>
      <c r="Q18" s="2">
        <f>=J18*Parametrat!$B$5/100</f>
        <v/>
      </c>
      <c r="R18" s="2">
        <f>=J18+P18+Q18</f>
        <v/>
      </c>
    </row>
    <row r="19">
      <c r="A19" s="2">
        <f>=IF('Punonjësit'!A19="","",'Punonjësit'!A19)</f>
        <v/>
      </c>
      <c r="B19" s="2">
        <f>=IF(A19="","",'Punonjësit'!B19)</f>
        <v/>
      </c>
      <c r="C19" s="2">
        <f>=IF(A19="","",'Punonjësit'!C19)</f>
        <v/>
      </c>
      <c r="D19" s="3">
        <f>'Orari 31 Ditë'!AH19</f>
        <v/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2">
        <f>=IF(A19="",0,E19+F19+G19*H19+I19)</f>
        <v/>
      </c>
      <c r="K19" s="2">
        <f>=MIN(J19,Parametrat!$B$6)*Parametrat!$B$2/100</f>
        <v/>
      </c>
      <c r="L19" s="2">
        <f>=J19*Parametrat!$B$3/100</f>
        <v/>
      </c>
      <c r="M19" s="2">
        <f>=MAX(0,J19-K19-L19)</f>
        <v/>
      </c>
      <c r="N19" s="2">
        <f>=IF(M19&lt;=Parametrat!$B$7,0,IF(M19&lt;=Parametrat!$B$8,(M19-Parametrat!$B$7)*Parametrat!$B$9/100,(Parametrat!$B$8-Parametrat!$B$7)*Parametrat!$B$9/100+(M19-Parametrat!$B$8)*Parametrat!$B$10/100))</f>
        <v/>
      </c>
      <c r="O19" s="2">
        <f>=J19-K19-L19-N19</f>
        <v/>
      </c>
      <c r="P19" s="2">
        <f>=MIN(J19,Parametrat!$B$6)*Parametrat!$B$4/100</f>
        <v/>
      </c>
      <c r="Q19" s="2">
        <f>=J19*Parametrat!$B$5/100</f>
        <v/>
      </c>
      <c r="R19" s="2">
        <f>=J19+P19+Q19</f>
        <v/>
      </c>
    </row>
    <row r="20">
      <c r="A20" s="2">
        <f>=IF('Punonjësit'!A20="","",'Punonjësit'!A20)</f>
        <v/>
      </c>
      <c r="B20" s="2">
        <f>=IF(A20="","",'Punonjësit'!B20)</f>
        <v/>
      </c>
      <c r="C20" s="2">
        <f>=IF(A20="","",'Punonjësit'!C20)</f>
        <v/>
      </c>
      <c r="D20" s="3">
        <f>'Orari 31 Ditë'!AH20</f>
        <v/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2">
        <f>=IF(A20="",0,E20+F20+G20*H20+I20)</f>
        <v/>
      </c>
      <c r="K20" s="2">
        <f>=MIN(J20,Parametrat!$B$6)*Parametrat!$B$2/100</f>
        <v/>
      </c>
      <c r="L20" s="2">
        <f>=J20*Parametrat!$B$3/100</f>
        <v/>
      </c>
      <c r="M20" s="2">
        <f>=MAX(0,J20-K20-L20)</f>
        <v/>
      </c>
      <c r="N20" s="2">
        <f>=IF(M20&lt;=Parametrat!$B$7,0,IF(M20&lt;=Parametrat!$B$8,(M20-Parametrat!$B$7)*Parametrat!$B$9/100,(Parametrat!$B$8-Parametrat!$B$7)*Parametrat!$B$9/100+(M20-Parametrat!$B$8)*Parametrat!$B$10/100))</f>
        <v/>
      </c>
      <c r="O20" s="2">
        <f>=J20-K20-L20-N20</f>
        <v/>
      </c>
      <c r="P20" s="2">
        <f>=MIN(J20,Parametrat!$B$6)*Parametrat!$B$4/100</f>
        <v/>
      </c>
      <c r="Q20" s="2">
        <f>=J20*Parametrat!$B$5/100</f>
        <v/>
      </c>
      <c r="R20" s="2">
        <f>=J20+P20+Q20</f>
        <v/>
      </c>
    </row>
    <row r="21">
      <c r="A21" s="2">
        <f>=IF('Punonjësit'!A21="","",'Punonjësit'!A21)</f>
        <v/>
      </c>
      <c r="B21" s="2">
        <f>=IF(A21="","",'Punonjësit'!B21)</f>
        <v/>
      </c>
      <c r="C21" s="2">
        <f>=IF(A21="","",'Punonjësit'!C21)</f>
        <v/>
      </c>
      <c r="D21" s="3">
        <f>'Orari 31 Ditë'!AH21</f>
        <v/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2">
        <f>=IF(A21="",0,E21+F21+G21*H21+I21)</f>
        <v/>
      </c>
      <c r="K21" s="2">
        <f>=MIN(J21,Parametrat!$B$6)*Parametrat!$B$2/100</f>
        <v/>
      </c>
      <c r="L21" s="2">
        <f>=J21*Parametrat!$B$3/100</f>
        <v/>
      </c>
      <c r="M21" s="2">
        <f>=MAX(0,J21-K21-L21)</f>
        <v/>
      </c>
      <c r="N21" s="2">
        <f>=IF(M21&lt;=Parametrat!$B$7,0,IF(M21&lt;=Parametrat!$B$8,(M21-Parametrat!$B$7)*Parametrat!$B$9/100,(Parametrat!$B$8-Parametrat!$B$7)*Parametrat!$B$9/100+(M21-Parametrat!$B$8)*Parametrat!$B$10/100))</f>
        <v/>
      </c>
      <c r="O21" s="2">
        <f>=J21-K21-L21-N21</f>
        <v/>
      </c>
      <c r="P21" s="2">
        <f>=MIN(J21,Parametrat!$B$6)*Parametrat!$B$4/100</f>
        <v/>
      </c>
      <c r="Q21" s="2">
        <f>=J21*Parametrat!$B$5/100</f>
        <v/>
      </c>
      <c r="R21" s="2">
        <f>=J21+P21+Q21</f>
        <v/>
      </c>
    </row>
    <row r="22">
      <c r="A22" s="2">
        <f>=IF('Punonjësit'!A22="","",'Punonjësit'!A22)</f>
        <v/>
      </c>
      <c r="B22" s="2">
        <f>=IF(A22="","",'Punonjësit'!B22)</f>
        <v/>
      </c>
      <c r="C22" s="2">
        <f>=IF(A22="","",'Punonjësit'!C22)</f>
        <v/>
      </c>
      <c r="D22" s="3">
        <f>'Orari 31 Ditë'!AH22</f>
        <v/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2">
        <f>=IF(A22="",0,E22+F22+G22*H22+I22)</f>
        <v/>
      </c>
      <c r="K22" s="2">
        <f>=MIN(J22,Parametrat!$B$6)*Parametrat!$B$2/100</f>
        <v/>
      </c>
      <c r="L22" s="2">
        <f>=J22*Parametrat!$B$3/100</f>
        <v/>
      </c>
      <c r="M22" s="2">
        <f>=MAX(0,J22-K22-L22)</f>
        <v/>
      </c>
      <c r="N22" s="2">
        <f>=IF(M22&lt;=Parametrat!$B$7,0,IF(M22&lt;=Parametrat!$B$8,(M22-Parametrat!$B$7)*Parametrat!$B$9/100,(Parametrat!$B$8-Parametrat!$B$7)*Parametrat!$B$9/100+(M22-Parametrat!$B$8)*Parametrat!$B$10/100))</f>
        <v/>
      </c>
      <c r="O22" s="2">
        <f>=J22-K22-L22-N22</f>
        <v/>
      </c>
      <c r="P22" s="2">
        <f>=MIN(J22,Parametrat!$B$6)*Parametrat!$B$4/100</f>
        <v/>
      </c>
      <c r="Q22" s="2">
        <f>=J22*Parametrat!$B$5/100</f>
        <v/>
      </c>
      <c r="R22" s="2">
        <f>=J22+P22+Q22</f>
        <v/>
      </c>
    </row>
    <row r="23">
      <c r="A23" s="2">
        <f>=IF('Punonjësit'!A23="","",'Punonjësit'!A23)</f>
        <v/>
      </c>
      <c r="B23" s="2">
        <f>=IF(A23="","",'Punonjësit'!B23)</f>
        <v/>
      </c>
      <c r="C23" s="2">
        <f>=IF(A23="","",'Punonjësit'!C23)</f>
        <v/>
      </c>
      <c r="D23" s="3">
        <f>'Orari 31 Ditë'!AH23</f>
        <v/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2">
        <f>=IF(A23="",0,E23+F23+G23*H23+I23)</f>
        <v/>
      </c>
      <c r="K23" s="2">
        <f>=MIN(J23,Parametrat!$B$6)*Parametrat!$B$2/100</f>
        <v/>
      </c>
      <c r="L23" s="2">
        <f>=J23*Parametrat!$B$3/100</f>
        <v/>
      </c>
      <c r="M23" s="2">
        <f>=MAX(0,J23-K23-L23)</f>
        <v/>
      </c>
      <c r="N23" s="2">
        <f>=IF(M23&lt;=Parametrat!$B$7,0,IF(M23&lt;=Parametrat!$B$8,(M23-Parametrat!$B$7)*Parametrat!$B$9/100,(Parametrat!$B$8-Parametrat!$B$7)*Parametrat!$B$9/100+(M23-Parametrat!$B$8)*Parametrat!$B$10/100))</f>
        <v/>
      </c>
      <c r="O23" s="2">
        <f>=J23-K23-L23-N23</f>
        <v/>
      </c>
      <c r="P23" s="2">
        <f>=MIN(J23,Parametrat!$B$6)*Parametrat!$B$4/100</f>
        <v/>
      </c>
      <c r="Q23" s="2">
        <f>=J23*Parametrat!$B$5/100</f>
        <v/>
      </c>
      <c r="R23" s="2">
        <f>=J23+P23+Q23</f>
        <v/>
      </c>
    </row>
    <row r="24">
      <c r="A24" s="2">
        <f>=IF('Punonjësit'!A24="","",'Punonjësit'!A24)</f>
        <v/>
      </c>
      <c r="B24" s="2">
        <f>=IF(A24="","",'Punonjësit'!B24)</f>
        <v/>
      </c>
      <c r="C24" s="2">
        <f>=IF(A24="","",'Punonjësit'!C24)</f>
        <v/>
      </c>
      <c r="D24" s="3">
        <f>'Orari 31 Ditë'!AH24</f>
        <v/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2">
        <f>=IF(A24="",0,E24+F24+G24*H24+I24)</f>
        <v/>
      </c>
      <c r="K24" s="2">
        <f>=MIN(J24,Parametrat!$B$6)*Parametrat!$B$2/100</f>
        <v/>
      </c>
      <c r="L24" s="2">
        <f>=J24*Parametrat!$B$3/100</f>
        <v/>
      </c>
      <c r="M24" s="2">
        <f>=MAX(0,J24-K24-L24)</f>
        <v/>
      </c>
      <c r="N24" s="2">
        <f>=IF(M24&lt;=Parametrat!$B$7,0,IF(M24&lt;=Parametrat!$B$8,(M24-Parametrat!$B$7)*Parametrat!$B$9/100,(Parametrat!$B$8-Parametrat!$B$7)*Parametrat!$B$9/100+(M24-Parametrat!$B$8)*Parametrat!$B$10/100))</f>
        <v/>
      </c>
      <c r="O24" s="2">
        <f>=J24-K24-L24-N24</f>
        <v/>
      </c>
      <c r="P24" s="2">
        <f>=MIN(J24,Parametrat!$B$6)*Parametrat!$B$4/100</f>
        <v/>
      </c>
      <c r="Q24" s="2">
        <f>=J24*Parametrat!$B$5/100</f>
        <v/>
      </c>
      <c r="R24" s="2">
        <f>=J24+P24+Q24</f>
        <v/>
      </c>
    </row>
    <row r="25">
      <c r="A25" s="2">
        <f>=IF('Punonjësit'!A25="","",'Punonjësit'!A25)</f>
        <v/>
      </c>
      <c r="B25" s="2">
        <f>=IF(A25="","",'Punonjësit'!B25)</f>
        <v/>
      </c>
      <c r="C25" s="2">
        <f>=IF(A25="","",'Punonjësit'!C25)</f>
        <v/>
      </c>
      <c r="D25" s="3">
        <f>'Orari 31 Ditë'!AH25</f>
        <v/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2">
        <f>=IF(A25="",0,E25+F25+G25*H25+I25)</f>
        <v/>
      </c>
      <c r="K25" s="2">
        <f>=MIN(J25,Parametrat!$B$6)*Parametrat!$B$2/100</f>
        <v/>
      </c>
      <c r="L25" s="2">
        <f>=J25*Parametrat!$B$3/100</f>
        <v/>
      </c>
      <c r="M25" s="2">
        <f>=MAX(0,J25-K25-L25)</f>
        <v/>
      </c>
      <c r="N25" s="2">
        <f>=IF(M25&lt;=Parametrat!$B$7,0,IF(M25&lt;=Parametrat!$B$8,(M25-Parametrat!$B$7)*Parametrat!$B$9/100,(Parametrat!$B$8-Parametrat!$B$7)*Parametrat!$B$9/100+(M25-Parametrat!$B$8)*Parametrat!$B$10/100))</f>
        <v/>
      </c>
      <c r="O25" s="2">
        <f>=J25-K25-L25-N25</f>
        <v/>
      </c>
      <c r="P25" s="2">
        <f>=MIN(J25,Parametrat!$B$6)*Parametrat!$B$4/100</f>
        <v/>
      </c>
      <c r="Q25" s="2">
        <f>=J25*Parametrat!$B$5/100</f>
        <v/>
      </c>
      <c r="R25" s="2">
        <f>=J25+P25+Q25</f>
        <v/>
      </c>
    </row>
    <row r="26">
      <c r="A26" s="2">
        <f>=IF('Punonjësit'!A26="","",'Punonjësit'!A26)</f>
        <v/>
      </c>
      <c r="B26" s="2">
        <f>=IF(A26="","",'Punonjësit'!B26)</f>
        <v/>
      </c>
      <c r="C26" s="2">
        <f>=IF(A26="","",'Punonjësit'!C26)</f>
        <v/>
      </c>
      <c r="D26" s="3">
        <f>'Orari 31 Ditë'!AH26</f>
        <v/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2">
        <f>=IF(A26="",0,E26+F26+G26*H26+I26)</f>
        <v/>
      </c>
      <c r="K26" s="2">
        <f>=MIN(J26,Parametrat!$B$6)*Parametrat!$B$2/100</f>
        <v/>
      </c>
      <c r="L26" s="2">
        <f>=J26*Parametrat!$B$3/100</f>
        <v/>
      </c>
      <c r="M26" s="2">
        <f>=MAX(0,J26-K26-L26)</f>
        <v/>
      </c>
      <c r="N26" s="2">
        <f>=IF(M26&lt;=Parametrat!$B$7,0,IF(M26&lt;=Parametrat!$B$8,(M26-Parametrat!$B$7)*Parametrat!$B$9/100,(Parametrat!$B$8-Parametrat!$B$7)*Parametrat!$B$9/100+(M26-Parametrat!$B$8)*Parametrat!$B$10/100))</f>
        <v/>
      </c>
      <c r="O26" s="2">
        <f>=J26-K26-L26-N26</f>
        <v/>
      </c>
      <c r="P26" s="2">
        <f>=MIN(J26,Parametrat!$B$6)*Parametrat!$B$4/100</f>
        <v/>
      </c>
      <c r="Q26" s="2">
        <f>=J26*Parametrat!$B$5/100</f>
        <v/>
      </c>
      <c r="R26" s="2">
        <f>=J26+P26+Q26</f>
        <v/>
      </c>
    </row>
    <row r="27">
      <c r="A27" s="2">
        <f>=IF('Punonjësit'!A27="","",'Punonjësit'!A27)</f>
        <v/>
      </c>
      <c r="B27" s="2">
        <f>=IF(A27="","",'Punonjësit'!B27)</f>
        <v/>
      </c>
      <c r="C27" s="2">
        <f>=IF(A27="","",'Punonjësit'!C27)</f>
        <v/>
      </c>
      <c r="D27" s="3">
        <f>'Orari 31 Ditë'!AH27</f>
        <v/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2">
        <f>=IF(A27="",0,E27+F27+G27*H27+I27)</f>
        <v/>
      </c>
      <c r="K27" s="2">
        <f>=MIN(J27,Parametrat!$B$6)*Parametrat!$B$2/100</f>
        <v/>
      </c>
      <c r="L27" s="2">
        <f>=J27*Parametrat!$B$3/100</f>
        <v/>
      </c>
      <c r="M27" s="2">
        <f>=MAX(0,J27-K27-L27)</f>
        <v/>
      </c>
      <c r="N27" s="2">
        <f>=IF(M27&lt;=Parametrat!$B$7,0,IF(M27&lt;=Parametrat!$B$8,(M27-Parametrat!$B$7)*Parametrat!$B$9/100,(Parametrat!$B$8-Parametrat!$B$7)*Parametrat!$B$9/100+(M27-Parametrat!$B$8)*Parametrat!$B$10/100))</f>
        <v/>
      </c>
      <c r="O27" s="2">
        <f>=J27-K27-L27-N27</f>
        <v/>
      </c>
      <c r="P27" s="2">
        <f>=MIN(J27,Parametrat!$B$6)*Parametrat!$B$4/100</f>
        <v/>
      </c>
      <c r="Q27" s="2">
        <f>=J27*Parametrat!$B$5/100</f>
        <v/>
      </c>
      <c r="R27" s="2">
        <f>=J27+P27+Q27</f>
        <v/>
      </c>
    </row>
    <row r="28">
      <c r="A28" s="2">
        <f>=IF('Punonjësit'!A28="","",'Punonjësit'!A28)</f>
        <v/>
      </c>
      <c r="B28" s="2">
        <f>=IF(A28="","",'Punonjësit'!B28)</f>
        <v/>
      </c>
      <c r="C28" s="2">
        <f>=IF(A28="","",'Punonjësit'!C28)</f>
        <v/>
      </c>
      <c r="D28" s="3">
        <f>'Orari 31 Ditë'!AH28</f>
        <v/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2">
        <f>=IF(A28="",0,E28+F28+G28*H28+I28)</f>
        <v/>
      </c>
      <c r="K28" s="2">
        <f>=MIN(J28,Parametrat!$B$6)*Parametrat!$B$2/100</f>
        <v/>
      </c>
      <c r="L28" s="2">
        <f>=J28*Parametrat!$B$3/100</f>
        <v/>
      </c>
      <c r="M28" s="2">
        <f>=MAX(0,J28-K28-L28)</f>
        <v/>
      </c>
      <c r="N28" s="2">
        <f>=IF(M28&lt;=Parametrat!$B$7,0,IF(M28&lt;=Parametrat!$B$8,(M28-Parametrat!$B$7)*Parametrat!$B$9/100,(Parametrat!$B$8-Parametrat!$B$7)*Parametrat!$B$9/100+(M28-Parametrat!$B$8)*Parametrat!$B$10/100))</f>
        <v/>
      </c>
      <c r="O28" s="2">
        <f>=J28-K28-L28-N28</f>
        <v/>
      </c>
      <c r="P28" s="2">
        <f>=MIN(J28,Parametrat!$B$6)*Parametrat!$B$4/100</f>
        <v/>
      </c>
      <c r="Q28" s="2">
        <f>=J28*Parametrat!$B$5/100</f>
        <v/>
      </c>
      <c r="R28" s="2">
        <f>=J28+P28+Q28</f>
        <v/>
      </c>
    </row>
    <row r="29">
      <c r="A29" s="2">
        <f>=IF('Punonjësit'!A29="","",'Punonjësit'!A29)</f>
        <v/>
      </c>
      <c r="B29" s="2">
        <f>=IF(A29="","",'Punonjësit'!B29)</f>
        <v/>
      </c>
      <c r="C29" s="2">
        <f>=IF(A29="","",'Punonjësit'!C29)</f>
        <v/>
      </c>
      <c r="D29" s="3">
        <f>'Orari 31 Ditë'!AH29</f>
        <v/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2">
        <f>=IF(A29="",0,E29+F29+G29*H29+I29)</f>
        <v/>
      </c>
      <c r="K29" s="2">
        <f>=MIN(J29,Parametrat!$B$6)*Parametrat!$B$2/100</f>
        <v/>
      </c>
      <c r="L29" s="2">
        <f>=J29*Parametrat!$B$3/100</f>
        <v/>
      </c>
      <c r="M29" s="2">
        <f>=MAX(0,J29-K29-L29)</f>
        <v/>
      </c>
      <c r="N29" s="2">
        <f>=IF(M29&lt;=Parametrat!$B$7,0,IF(M29&lt;=Parametrat!$B$8,(M29-Parametrat!$B$7)*Parametrat!$B$9/100,(Parametrat!$B$8-Parametrat!$B$7)*Parametrat!$B$9/100+(M29-Parametrat!$B$8)*Parametrat!$B$10/100))</f>
        <v/>
      </c>
      <c r="O29" s="2">
        <f>=J29-K29-L29-N29</f>
        <v/>
      </c>
      <c r="P29" s="2">
        <f>=MIN(J29,Parametrat!$B$6)*Parametrat!$B$4/100</f>
        <v/>
      </c>
      <c r="Q29" s="2">
        <f>=J29*Parametrat!$B$5/100</f>
        <v/>
      </c>
      <c r="R29" s="2">
        <f>=J29+P29+Q29</f>
        <v/>
      </c>
    </row>
    <row r="30">
      <c r="A30" s="2">
        <f>=IF('Punonjësit'!A30="","",'Punonjësit'!A30)</f>
        <v/>
      </c>
      <c r="B30" s="2">
        <f>=IF(A30="","",'Punonjësit'!B30)</f>
        <v/>
      </c>
      <c r="C30" s="2">
        <f>=IF(A30="","",'Punonjësit'!C30)</f>
        <v/>
      </c>
      <c r="D30" s="3">
        <f>'Orari 31 Ditë'!AH30</f>
        <v/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2">
        <f>=IF(A30="",0,E30+F30+G30*H30+I30)</f>
        <v/>
      </c>
      <c r="K30" s="2">
        <f>=MIN(J30,Parametrat!$B$6)*Parametrat!$B$2/100</f>
        <v/>
      </c>
      <c r="L30" s="2">
        <f>=J30*Parametrat!$B$3/100</f>
        <v/>
      </c>
      <c r="M30" s="2">
        <f>=MAX(0,J30-K30-L30)</f>
        <v/>
      </c>
      <c r="N30" s="2">
        <f>=IF(M30&lt;=Parametrat!$B$7,0,IF(M30&lt;=Parametrat!$B$8,(M30-Parametrat!$B$7)*Parametrat!$B$9/100,(Parametrat!$B$8-Parametrat!$B$7)*Parametrat!$B$9/100+(M30-Parametrat!$B$8)*Parametrat!$B$10/100))</f>
        <v/>
      </c>
      <c r="O30" s="2">
        <f>=J30-K30-L30-N30</f>
        <v/>
      </c>
      <c r="P30" s="2">
        <f>=MIN(J30,Parametrat!$B$6)*Parametrat!$B$4/100</f>
        <v/>
      </c>
      <c r="Q30" s="2">
        <f>=J30*Parametrat!$B$5/100</f>
        <v/>
      </c>
      <c r="R30" s="2">
        <f>=J30+P30+Q30</f>
        <v/>
      </c>
    </row>
    <row r="31">
      <c r="A31" s="2">
        <f>=IF('Punonjësit'!A31="","",'Punonjësit'!A31)</f>
        <v/>
      </c>
      <c r="B31" s="2">
        <f>=IF(A31="","",'Punonjësit'!B31)</f>
        <v/>
      </c>
      <c r="C31" s="2">
        <f>=IF(A31="","",'Punonjësit'!C31)</f>
        <v/>
      </c>
      <c r="D31" s="3">
        <f>'Orari 31 Ditë'!AH31</f>
        <v/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2">
        <f>=IF(A31="",0,E31+F31+G31*H31+I31)</f>
        <v/>
      </c>
      <c r="K31" s="2">
        <f>=MIN(J31,Parametrat!$B$6)*Parametrat!$B$2/100</f>
        <v/>
      </c>
      <c r="L31" s="2">
        <f>=J31*Parametrat!$B$3/100</f>
        <v/>
      </c>
      <c r="M31" s="2">
        <f>=MAX(0,J31-K31-L31)</f>
        <v/>
      </c>
      <c r="N31" s="2">
        <f>=IF(M31&lt;=Parametrat!$B$7,0,IF(M31&lt;=Parametrat!$B$8,(M31-Parametrat!$B$7)*Parametrat!$B$9/100,(Parametrat!$B$8-Parametrat!$B$7)*Parametrat!$B$9/100+(M31-Parametrat!$B$8)*Parametrat!$B$10/100))</f>
        <v/>
      </c>
      <c r="O31" s="2">
        <f>=J31-K31-L31-N31</f>
        <v/>
      </c>
      <c r="P31" s="2">
        <f>=MIN(J31,Parametrat!$B$6)*Parametrat!$B$4/100</f>
        <v/>
      </c>
      <c r="Q31" s="2">
        <f>=J31*Parametrat!$B$5/100</f>
        <v/>
      </c>
      <c r="R31" s="2">
        <f>=J31+P31+Q31</f>
        <v/>
      </c>
    </row>
    <row r="32">
      <c r="A32" s="2">
        <f>=IF('Punonjësit'!A32="","",'Punonjësit'!A32)</f>
        <v/>
      </c>
      <c r="B32" s="2">
        <f>=IF(A32="","",'Punonjësit'!B32)</f>
        <v/>
      </c>
      <c r="C32" s="2">
        <f>=IF(A32="","",'Punonjësit'!C32)</f>
        <v/>
      </c>
      <c r="D32" s="3">
        <f>'Orari 31 Ditë'!AH32</f>
        <v/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2">
        <f>=IF(A32="",0,E32+F32+G32*H32+I32)</f>
        <v/>
      </c>
      <c r="K32" s="2">
        <f>=MIN(J32,Parametrat!$B$6)*Parametrat!$B$2/100</f>
        <v/>
      </c>
      <c r="L32" s="2">
        <f>=J32*Parametrat!$B$3/100</f>
        <v/>
      </c>
      <c r="M32" s="2">
        <f>=MAX(0,J32-K32-L32)</f>
        <v/>
      </c>
      <c r="N32" s="2">
        <f>=IF(M32&lt;=Parametrat!$B$7,0,IF(M32&lt;=Parametrat!$B$8,(M32-Parametrat!$B$7)*Parametrat!$B$9/100,(Parametrat!$B$8-Parametrat!$B$7)*Parametrat!$B$9/100+(M32-Parametrat!$B$8)*Parametrat!$B$10/100))</f>
        <v/>
      </c>
      <c r="O32" s="2">
        <f>=J32-K32-L32-N32</f>
        <v/>
      </c>
      <c r="P32" s="2">
        <f>=MIN(J32,Parametrat!$B$6)*Parametrat!$B$4/100</f>
        <v/>
      </c>
      <c r="Q32" s="2">
        <f>=J32*Parametrat!$B$5/100</f>
        <v/>
      </c>
      <c r="R32" s="2">
        <f>=J32+P32+Q32</f>
        <v/>
      </c>
    </row>
    <row r="33">
      <c r="A33" s="2">
        <f>=IF('Punonjësit'!A33="","",'Punonjësit'!A33)</f>
        <v/>
      </c>
      <c r="B33" s="2">
        <f>=IF(A33="","",'Punonjësit'!B33)</f>
        <v/>
      </c>
      <c r="C33" s="2">
        <f>=IF(A33="","",'Punonjësit'!C33)</f>
        <v/>
      </c>
      <c r="D33" s="3">
        <f>'Orari 31 Ditë'!AH33</f>
        <v/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2">
        <f>=IF(A33="",0,E33+F33+G33*H33+I33)</f>
        <v/>
      </c>
      <c r="K33" s="2">
        <f>=MIN(J33,Parametrat!$B$6)*Parametrat!$B$2/100</f>
        <v/>
      </c>
      <c r="L33" s="2">
        <f>=J33*Parametrat!$B$3/100</f>
        <v/>
      </c>
      <c r="M33" s="2">
        <f>=MAX(0,J33-K33-L33)</f>
        <v/>
      </c>
      <c r="N33" s="2">
        <f>=IF(M33&lt;=Parametrat!$B$7,0,IF(M33&lt;=Parametrat!$B$8,(M33-Parametrat!$B$7)*Parametrat!$B$9/100,(Parametrat!$B$8-Parametrat!$B$7)*Parametrat!$B$9/100+(M33-Parametrat!$B$8)*Parametrat!$B$10/100))</f>
        <v/>
      </c>
      <c r="O33" s="2">
        <f>=J33-K33-L33-N33</f>
        <v/>
      </c>
      <c r="P33" s="2">
        <f>=MIN(J33,Parametrat!$B$6)*Parametrat!$B$4/100</f>
        <v/>
      </c>
      <c r="Q33" s="2">
        <f>=J33*Parametrat!$B$5/100</f>
        <v/>
      </c>
      <c r="R33" s="2">
        <f>=J33+P33+Q33</f>
        <v/>
      </c>
    </row>
    <row r="34">
      <c r="A34" s="2">
        <f>=IF('Punonjësit'!A34="","",'Punonjësit'!A34)</f>
        <v/>
      </c>
      <c r="B34" s="2">
        <f>=IF(A34="","",'Punonjësit'!B34)</f>
        <v/>
      </c>
      <c r="C34" s="2">
        <f>=IF(A34="","",'Punonjësit'!C34)</f>
        <v/>
      </c>
      <c r="D34" s="3">
        <f>'Orari 31 Ditë'!AH34</f>
        <v/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2">
        <f>=IF(A34="",0,E34+F34+G34*H34+I34)</f>
        <v/>
      </c>
      <c r="K34" s="2">
        <f>=MIN(J34,Parametrat!$B$6)*Parametrat!$B$2/100</f>
        <v/>
      </c>
      <c r="L34" s="2">
        <f>=J34*Parametrat!$B$3/100</f>
        <v/>
      </c>
      <c r="M34" s="2">
        <f>=MAX(0,J34-K34-L34)</f>
        <v/>
      </c>
      <c r="N34" s="2">
        <f>=IF(M34&lt;=Parametrat!$B$7,0,IF(M34&lt;=Parametrat!$B$8,(M34-Parametrat!$B$7)*Parametrat!$B$9/100,(Parametrat!$B$8-Parametrat!$B$7)*Parametrat!$B$9/100+(M34-Parametrat!$B$8)*Parametrat!$B$10/100))</f>
        <v/>
      </c>
      <c r="O34" s="2">
        <f>=J34-K34-L34-N34</f>
        <v/>
      </c>
      <c r="P34" s="2">
        <f>=MIN(J34,Parametrat!$B$6)*Parametrat!$B$4/100</f>
        <v/>
      </c>
      <c r="Q34" s="2">
        <f>=J34*Parametrat!$B$5/100</f>
        <v/>
      </c>
      <c r="R34" s="2">
        <f>=J34+P34+Q34</f>
        <v/>
      </c>
    </row>
    <row r="35">
      <c r="A35" s="2">
        <f>=IF('Punonjësit'!A35="","",'Punonjësit'!A35)</f>
        <v/>
      </c>
      <c r="B35" s="2">
        <f>=IF(A35="","",'Punonjësit'!B35)</f>
        <v/>
      </c>
      <c r="C35" s="2">
        <f>=IF(A35="","",'Punonjësit'!C35)</f>
        <v/>
      </c>
      <c r="D35" s="3">
        <f>'Orari 31 Ditë'!AH35</f>
        <v/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2">
        <f>=IF(A35="",0,E35+F35+G35*H35+I35)</f>
        <v/>
      </c>
      <c r="K35" s="2">
        <f>=MIN(J35,Parametrat!$B$6)*Parametrat!$B$2/100</f>
        <v/>
      </c>
      <c r="L35" s="2">
        <f>=J35*Parametrat!$B$3/100</f>
        <v/>
      </c>
      <c r="M35" s="2">
        <f>=MAX(0,J35-K35-L35)</f>
        <v/>
      </c>
      <c r="N35" s="2">
        <f>=IF(M35&lt;=Parametrat!$B$7,0,IF(M35&lt;=Parametrat!$B$8,(M35-Parametrat!$B$7)*Parametrat!$B$9/100,(Parametrat!$B$8-Parametrat!$B$7)*Parametrat!$B$9/100+(M35-Parametrat!$B$8)*Parametrat!$B$10/100))</f>
        <v/>
      </c>
      <c r="O35" s="2">
        <f>=J35-K35-L35-N35</f>
        <v/>
      </c>
      <c r="P35" s="2">
        <f>=MIN(J35,Parametrat!$B$6)*Parametrat!$B$4/100</f>
        <v/>
      </c>
      <c r="Q35" s="2">
        <f>=J35*Parametrat!$B$5/100</f>
        <v/>
      </c>
      <c r="R35" s="2">
        <f>=J35+P35+Q35</f>
        <v/>
      </c>
    </row>
    <row r="36">
      <c r="A36" s="2">
        <f>=IF('Punonjësit'!A36="","",'Punonjësit'!A36)</f>
        <v/>
      </c>
      <c r="B36" s="2">
        <f>=IF(A36="","",'Punonjësit'!B36)</f>
        <v/>
      </c>
      <c r="C36" s="2">
        <f>=IF(A36="","",'Punonjësit'!C36)</f>
        <v/>
      </c>
      <c r="D36" s="3">
        <f>'Orari 31 Ditë'!AH36</f>
        <v/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2">
        <f>=IF(A36="",0,E36+F36+G36*H36+I36)</f>
        <v/>
      </c>
      <c r="K36" s="2">
        <f>=MIN(J36,Parametrat!$B$6)*Parametrat!$B$2/100</f>
        <v/>
      </c>
      <c r="L36" s="2">
        <f>=J36*Parametrat!$B$3/100</f>
        <v/>
      </c>
      <c r="M36" s="2">
        <f>=MAX(0,J36-K36-L36)</f>
        <v/>
      </c>
      <c r="N36" s="2">
        <f>=IF(M36&lt;=Parametrat!$B$7,0,IF(M36&lt;=Parametrat!$B$8,(M36-Parametrat!$B$7)*Parametrat!$B$9/100,(Parametrat!$B$8-Parametrat!$B$7)*Parametrat!$B$9/100+(M36-Parametrat!$B$8)*Parametrat!$B$10/100))</f>
        <v/>
      </c>
      <c r="O36" s="2">
        <f>=J36-K36-L36-N36</f>
        <v/>
      </c>
      <c r="P36" s="2">
        <f>=MIN(J36,Parametrat!$B$6)*Parametrat!$B$4/100</f>
        <v/>
      </c>
      <c r="Q36" s="2">
        <f>=J36*Parametrat!$B$5/100</f>
        <v/>
      </c>
      <c r="R36" s="2">
        <f>=J36+P36+Q36</f>
        <v/>
      </c>
    </row>
    <row r="37">
      <c r="A37" s="2">
        <f>=IF('Punonjësit'!A37="","",'Punonjësit'!A37)</f>
        <v/>
      </c>
      <c r="B37" s="2">
        <f>=IF(A37="","",'Punonjësit'!B37)</f>
        <v/>
      </c>
      <c r="C37" s="2">
        <f>=IF(A37="","",'Punonjësit'!C37)</f>
        <v/>
      </c>
      <c r="D37" s="3">
        <f>'Orari 31 Ditë'!AH37</f>
        <v/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2">
        <f>=IF(A37="",0,E37+F37+G37*H37+I37)</f>
        <v/>
      </c>
      <c r="K37" s="2">
        <f>=MIN(J37,Parametrat!$B$6)*Parametrat!$B$2/100</f>
        <v/>
      </c>
      <c r="L37" s="2">
        <f>=J37*Parametrat!$B$3/100</f>
        <v/>
      </c>
      <c r="M37" s="2">
        <f>=MAX(0,J37-K37-L37)</f>
        <v/>
      </c>
      <c r="N37" s="2">
        <f>=IF(M37&lt;=Parametrat!$B$7,0,IF(M37&lt;=Parametrat!$B$8,(M37-Parametrat!$B$7)*Parametrat!$B$9/100,(Parametrat!$B$8-Parametrat!$B$7)*Parametrat!$B$9/100+(M37-Parametrat!$B$8)*Parametrat!$B$10/100))</f>
        <v/>
      </c>
      <c r="O37" s="2">
        <f>=J37-K37-L37-N37</f>
        <v/>
      </c>
      <c r="P37" s="2">
        <f>=MIN(J37,Parametrat!$B$6)*Parametrat!$B$4/100</f>
        <v/>
      </c>
      <c r="Q37" s="2">
        <f>=J37*Parametrat!$B$5/100</f>
        <v/>
      </c>
      <c r="R37" s="2">
        <f>=J37+P37+Q37</f>
        <v/>
      </c>
    </row>
    <row r="38">
      <c r="A38" s="2">
        <f>=IF('Punonjësit'!A38="","",'Punonjësit'!A38)</f>
        <v/>
      </c>
      <c r="B38" s="2">
        <f>=IF(A38="","",'Punonjësit'!B38)</f>
        <v/>
      </c>
      <c r="C38" s="2">
        <f>=IF(A38="","",'Punonjësit'!C38)</f>
        <v/>
      </c>
      <c r="D38" s="3">
        <f>'Orari 31 Ditë'!AH38</f>
        <v/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2">
        <f>=IF(A38="",0,E38+F38+G38*H38+I38)</f>
        <v/>
      </c>
      <c r="K38" s="2">
        <f>=MIN(J38,Parametrat!$B$6)*Parametrat!$B$2/100</f>
        <v/>
      </c>
      <c r="L38" s="2">
        <f>=J38*Parametrat!$B$3/100</f>
        <v/>
      </c>
      <c r="M38" s="2">
        <f>=MAX(0,J38-K38-L38)</f>
        <v/>
      </c>
      <c r="N38" s="2">
        <f>=IF(M38&lt;=Parametrat!$B$7,0,IF(M38&lt;=Parametrat!$B$8,(M38-Parametrat!$B$7)*Parametrat!$B$9/100,(Parametrat!$B$8-Parametrat!$B$7)*Parametrat!$B$9/100+(M38-Parametrat!$B$8)*Parametrat!$B$10/100))</f>
        <v/>
      </c>
      <c r="O38" s="2">
        <f>=J38-K38-L38-N38</f>
        <v/>
      </c>
      <c r="P38" s="2">
        <f>=MIN(J38,Parametrat!$B$6)*Parametrat!$B$4/100</f>
        <v/>
      </c>
      <c r="Q38" s="2">
        <f>=J38*Parametrat!$B$5/100</f>
        <v/>
      </c>
      <c r="R38" s="2">
        <f>=J38+P38+Q38</f>
        <v/>
      </c>
    </row>
    <row r="39">
      <c r="A39" s="2">
        <f>=IF('Punonjësit'!A39="","",'Punonjësit'!A39)</f>
        <v/>
      </c>
      <c r="B39" s="2">
        <f>=IF(A39="","",'Punonjësit'!B39)</f>
        <v/>
      </c>
      <c r="C39" s="2">
        <f>=IF(A39="","",'Punonjësit'!C39)</f>
        <v/>
      </c>
      <c r="D39" s="3">
        <f>'Orari 31 Ditë'!AH39</f>
        <v/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2">
        <f>=IF(A39="",0,E39+F39+G39*H39+I39)</f>
        <v/>
      </c>
      <c r="K39" s="2">
        <f>=MIN(J39,Parametrat!$B$6)*Parametrat!$B$2/100</f>
        <v/>
      </c>
      <c r="L39" s="2">
        <f>=J39*Parametrat!$B$3/100</f>
        <v/>
      </c>
      <c r="M39" s="2">
        <f>=MAX(0,J39-K39-L39)</f>
        <v/>
      </c>
      <c r="N39" s="2">
        <f>=IF(M39&lt;=Parametrat!$B$7,0,IF(M39&lt;=Parametrat!$B$8,(M39-Parametrat!$B$7)*Parametrat!$B$9/100,(Parametrat!$B$8-Parametrat!$B$7)*Parametrat!$B$9/100+(M39-Parametrat!$B$8)*Parametrat!$B$10/100))</f>
        <v/>
      </c>
      <c r="O39" s="2">
        <f>=J39-K39-L39-N39</f>
        <v/>
      </c>
      <c r="P39" s="2">
        <f>=MIN(J39,Parametrat!$B$6)*Parametrat!$B$4/100</f>
        <v/>
      </c>
      <c r="Q39" s="2">
        <f>=J39*Parametrat!$B$5/100</f>
        <v/>
      </c>
      <c r="R39" s="2">
        <f>=J39+P39+Q39</f>
        <v/>
      </c>
    </row>
    <row r="40">
      <c r="A40" s="2">
        <f>=IF('Punonjësit'!A40="","",'Punonjësit'!A40)</f>
        <v/>
      </c>
      <c r="B40" s="2">
        <f>=IF(A40="","",'Punonjësit'!B40)</f>
        <v/>
      </c>
      <c r="C40" s="2">
        <f>=IF(A40="","",'Punonjësit'!C40)</f>
        <v/>
      </c>
      <c r="D40" s="3">
        <f>'Orari 31 Ditë'!AH40</f>
        <v/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2">
        <f>=IF(A40="",0,E40+F40+G40*H40+I40)</f>
        <v/>
      </c>
      <c r="K40" s="2">
        <f>=MIN(J40,Parametrat!$B$6)*Parametrat!$B$2/100</f>
        <v/>
      </c>
      <c r="L40" s="2">
        <f>=J40*Parametrat!$B$3/100</f>
        <v/>
      </c>
      <c r="M40" s="2">
        <f>=MAX(0,J40-K40-L40)</f>
        <v/>
      </c>
      <c r="N40" s="2">
        <f>=IF(M40&lt;=Parametrat!$B$7,0,IF(M40&lt;=Parametrat!$B$8,(M40-Parametrat!$B$7)*Parametrat!$B$9/100,(Parametrat!$B$8-Parametrat!$B$7)*Parametrat!$B$9/100+(M40-Parametrat!$B$8)*Parametrat!$B$10/100))</f>
        <v/>
      </c>
      <c r="O40" s="2">
        <f>=J40-K40-L40-N40</f>
        <v/>
      </c>
      <c r="P40" s="2">
        <f>=MIN(J40,Parametrat!$B$6)*Parametrat!$B$4/100</f>
        <v/>
      </c>
      <c r="Q40" s="2">
        <f>=J40*Parametrat!$B$5/100</f>
        <v/>
      </c>
      <c r="R40" s="2">
        <f>=J40+P40+Q40</f>
        <v/>
      </c>
    </row>
    <row r="41">
      <c r="A41" s="2">
        <f>=IF('Punonjësit'!A41="","",'Punonjësit'!A41)</f>
        <v/>
      </c>
      <c r="B41" s="2">
        <f>=IF(A41="","",'Punonjësit'!B41)</f>
        <v/>
      </c>
      <c r="C41" s="2">
        <f>=IF(A41="","",'Punonjësit'!C41)</f>
        <v/>
      </c>
      <c r="D41" s="3">
        <f>'Orari 31 Ditë'!AH41</f>
        <v/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2">
        <f>=IF(A41="",0,E41+F41+G41*H41+I41)</f>
        <v/>
      </c>
      <c r="K41" s="2">
        <f>=MIN(J41,Parametrat!$B$6)*Parametrat!$B$2/100</f>
        <v/>
      </c>
      <c r="L41" s="2">
        <f>=J41*Parametrat!$B$3/100</f>
        <v/>
      </c>
      <c r="M41" s="2">
        <f>=MAX(0,J41-K41-L41)</f>
        <v/>
      </c>
      <c r="N41" s="2">
        <f>=IF(M41&lt;=Parametrat!$B$7,0,IF(M41&lt;=Parametrat!$B$8,(M41-Parametrat!$B$7)*Parametrat!$B$9/100,(Parametrat!$B$8-Parametrat!$B$7)*Parametrat!$B$9/100+(M41-Parametrat!$B$8)*Parametrat!$B$10/100))</f>
        <v/>
      </c>
      <c r="O41" s="2">
        <f>=J41-K41-L41-N41</f>
        <v/>
      </c>
      <c r="P41" s="2">
        <f>=MIN(J41,Parametrat!$B$6)*Parametrat!$B$4/100</f>
        <v/>
      </c>
      <c r="Q41" s="2">
        <f>=J41*Parametrat!$B$5/100</f>
        <v/>
      </c>
      <c r="R41" s="2">
        <f>=J41+P41+Q41</f>
        <v/>
      </c>
    </row>
    <row r="42">
      <c r="A42" s="2">
        <f>=IF('Punonjësit'!A42="","",'Punonjësit'!A42)</f>
        <v/>
      </c>
      <c r="B42" s="2">
        <f>=IF(A42="","",'Punonjësit'!B42)</f>
        <v/>
      </c>
      <c r="C42" s="2">
        <f>=IF(A42="","",'Punonjësit'!C42)</f>
        <v/>
      </c>
      <c r="D42" s="3">
        <f>'Orari 31 Ditë'!AH42</f>
        <v/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2">
        <f>=IF(A42="",0,E42+F42+G42*H42+I42)</f>
        <v/>
      </c>
      <c r="K42" s="2">
        <f>=MIN(J42,Parametrat!$B$6)*Parametrat!$B$2/100</f>
        <v/>
      </c>
      <c r="L42" s="2">
        <f>=J42*Parametrat!$B$3/100</f>
        <v/>
      </c>
      <c r="M42" s="2">
        <f>=MAX(0,J42-K42-L42)</f>
        <v/>
      </c>
      <c r="N42" s="2">
        <f>=IF(M42&lt;=Parametrat!$B$7,0,IF(M42&lt;=Parametrat!$B$8,(M42-Parametrat!$B$7)*Parametrat!$B$9/100,(Parametrat!$B$8-Parametrat!$B$7)*Parametrat!$B$9/100+(M42-Parametrat!$B$8)*Parametrat!$B$10/100))</f>
        <v/>
      </c>
      <c r="O42" s="2">
        <f>=J42-K42-L42-N42</f>
        <v/>
      </c>
      <c r="P42" s="2">
        <f>=MIN(J42,Parametrat!$B$6)*Parametrat!$B$4/100</f>
        <v/>
      </c>
      <c r="Q42" s="2">
        <f>=J42*Parametrat!$B$5/100</f>
        <v/>
      </c>
      <c r="R42" s="2">
        <f>=J42+P42+Q42</f>
        <v/>
      </c>
    </row>
    <row r="43">
      <c r="A43" s="2">
        <f>=IF('Punonjësit'!A43="","",'Punonjësit'!A43)</f>
        <v/>
      </c>
      <c r="B43" s="2">
        <f>=IF(A43="","",'Punonjësit'!B43)</f>
        <v/>
      </c>
      <c r="C43" s="2">
        <f>=IF(A43="","",'Punonjësit'!C43)</f>
        <v/>
      </c>
      <c r="D43" s="3">
        <f>'Orari 31 Ditë'!AH43</f>
        <v/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2">
        <f>=IF(A43="",0,E43+F43+G43*H43+I43)</f>
        <v/>
      </c>
      <c r="K43" s="2">
        <f>=MIN(J43,Parametrat!$B$6)*Parametrat!$B$2/100</f>
        <v/>
      </c>
      <c r="L43" s="2">
        <f>=J43*Parametrat!$B$3/100</f>
        <v/>
      </c>
      <c r="M43" s="2">
        <f>=MAX(0,J43-K43-L43)</f>
        <v/>
      </c>
      <c r="N43" s="2">
        <f>=IF(M43&lt;=Parametrat!$B$7,0,IF(M43&lt;=Parametrat!$B$8,(M43-Parametrat!$B$7)*Parametrat!$B$9/100,(Parametrat!$B$8-Parametrat!$B$7)*Parametrat!$B$9/100+(M43-Parametrat!$B$8)*Parametrat!$B$10/100))</f>
        <v/>
      </c>
      <c r="O43" s="2">
        <f>=J43-K43-L43-N43</f>
        <v/>
      </c>
      <c r="P43" s="2">
        <f>=MIN(J43,Parametrat!$B$6)*Parametrat!$B$4/100</f>
        <v/>
      </c>
      <c r="Q43" s="2">
        <f>=J43*Parametrat!$B$5/100</f>
        <v/>
      </c>
      <c r="R43" s="2">
        <f>=J43+P43+Q43</f>
        <v/>
      </c>
    </row>
    <row r="44">
      <c r="A44" s="2">
        <f>=IF('Punonjësit'!A44="","",'Punonjësit'!A44)</f>
        <v/>
      </c>
      <c r="B44" s="2">
        <f>=IF(A44="","",'Punonjësit'!B44)</f>
        <v/>
      </c>
      <c r="C44" s="2">
        <f>=IF(A44="","",'Punonjësit'!C44)</f>
        <v/>
      </c>
      <c r="D44" s="3">
        <f>'Orari 31 Ditë'!AH44</f>
        <v/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2">
        <f>=IF(A44="",0,E44+F44+G44*H44+I44)</f>
        <v/>
      </c>
      <c r="K44" s="2">
        <f>=MIN(J44,Parametrat!$B$6)*Parametrat!$B$2/100</f>
        <v/>
      </c>
      <c r="L44" s="2">
        <f>=J44*Parametrat!$B$3/100</f>
        <v/>
      </c>
      <c r="M44" s="2">
        <f>=MAX(0,J44-K44-L44)</f>
        <v/>
      </c>
      <c r="N44" s="2">
        <f>=IF(M44&lt;=Parametrat!$B$7,0,IF(M44&lt;=Parametrat!$B$8,(M44-Parametrat!$B$7)*Parametrat!$B$9/100,(Parametrat!$B$8-Parametrat!$B$7)*Parametrat!$B$9/100+(M44-Parametrat!$B$8)*Parametrat!$B$10/100))</f>
        <v/>
      </c>
      <c r="O44" s="2">
        <f>=J44-K44-L44-N44</f>
        <v/>
      </c>
      <c r="P44" s="2">
        <f>=MIN(J44,Parametrat!$B$6)*Parametrat!$B$4/100</f>
        <v/>
      </c>
      <c r="Q44" s="2">
        <f>=J44*Parametrat!$B$5/100</f>
        <v/>
      </c>
      <c r="R44" s="2">
        <f>=J44+P44+Q44</f>
        <v/>
      </c>
    </row>
    <row r="45">
      <c r="A45" s="2">
        <f>=IF('Punonjësit'!A45="","",'Punonjësit'!A45)</f>
        <v/>
      </c>
      <c r="B45" s="2">
        <f>=IF(A45="","",'Punonjësit'!B45)</f>
        <v/>
      </c>
      <c r="C45" s="2">
        <f>=IF(A45="","",'Punonjësit'!C45)</f>
        <v/>
      </c>
      <c r="D45" s="3">
        <f>'Orari 31 Ditë'!AH45</f>
        <v/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2">
        <f>=IF(A45="",0,E45+F45+G45*H45+I45)</f>
        <v/>
      </c>
      <c r="K45" s="2">
        <f>=MIN(J45,Parametrat!$B$6)*Parametrat!$B$2/100</f>
        <v/>
      </c>
      <c r="L45" s="2">
        <f>=J45*Parametrat!$B$3/100</f>
        <v/>
      </c>
      <c r="M45" s="2">
        <f>=MAX(0,J45-K45-L45)</f>
        <v/>
      </c>
      <c r="N45" s="2">
        <f>=IF(M45&lt;=Parametrat!$B$7,0,IF(M45&lt;=Parametrat!$B$8,(M45-Parametrat!$B$7)*Parametrat!$B$9/100,(Parametrat!$B$8-Parametrat!$B$7)*Parametrat!$B$9/100+(M45-Parametrat!$B$8)*Parametrat!$B$10/100))</f>
        <v/>
      </c>
      <c r="O45" s="2">
        <f>=J45-K45-L45-N45</f>
        <v/>
      </c>
      <c r="P45" s="2">
        <f>=MIN(J45,Parametrat!$B$6)*Parametrat!$B$4/100</f>
        <v/>
      </c>
      <c r="Q45" s="2">
        <f>=J45*Parametrat!$B$5/100</f>
        <v/>
      </c>
      <c r="R45" s="2">
        <f>=J45+P45+Q45</f>
        <v/>
      </c>
    </row>
    <row r="46">
      <c r="A46" s="2">
        <f>=IF('Punonjësit'!A46="","",'Punonjësit'!A46)</f>
        <v/>
      </c>
      <c r="B46" s="2">
        <f>=IF(A46="","",'Punonjësit'!B46)</f>
        <v/>
      </c>
      <c r="C46" s="2">
        <f>=IF(A46="","",'Punonjësit'!C46)</f>
        <v/>
      </c>
      <c r="D46" s="3">
        <f>'Orari 31 Ditë'!AH46</f>
        <v/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2">
        <f>=IF(A46="",0,E46+F46+G46*H46+I46)</f>
        <v/>
      </c>
      <c r="K46" s="2">
        <f>=MIN(J46,Parametrat!$B$6)*Parametrat!$B$2/100</f>
        <v/>
      </c>
      <c r="L46" s="2">
        <f>=J46*Parametrat!$B$3/100</f>
        <v/>
      </c>
      <c r="M46" s="2">
        <f>=MAX(0,J46-K46-L46)</f>
        <v/>
      </c>
      <c r="N46" s="2">
        <f>=IF(M46&lt;=Parametrat!$B$7,0,IF(M46&lt;=Parametrat!$B$8,(M46-Parametrat!$B$7)*Parametrat!$B$9/100,(Parametrat!$B$8-Parametrat!$B$7)*Parametrat!$B$9/100+(M46-Parametrat!$B$8)*Parametrat!$B$10/100))</f>
        <v/>
      </c>
      <c r="O46" s="2">
        <f>=J46-K46-L46-N46</f>
        <v/>
      </c>
      <c r="P46" s="2">
        <f>=MIN(J46,Parametrat!$B$6)*Parametrat!$B$4/100</f>
        <v/>
      </c>
      <c r="Q46" s="2">
        <f>=J46*Parametrat!$B$5/100</f>
        <v/>
      </c>
      <c r="R46" s="2">
        <f>=J46+P46+Q46</f>
        <v/>
      </c>
    </row>
    <row r="47">
      <c r="A47" s="2">
        <f>=IF('Punonjësit'!A47="","",'Punonjësit'!A47)</f>
        <v/>
      </c>
      <c r="B47" s="2">
        <f>=IF(A47="","",'Punonjësit'!B47)</f>
        <v/>
      </c>
      <c r="C47" s="2">
        <f>=IF(A47="","",'Punonjësit'!C47)</f>
        <v/>
      </c>
      <c r="D47" s="3">
        <f>'Orari 31 Ditë'!AH47</f>
        <v/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2">
        <f>=IF(A47="",0,E47+F47+G47*H47+I47)</f>
        <v/>
      </c>
      <c r="K47" s="2">
        <f>=MIN(J47,Parametrat!$B$6)*Parametrat!$B$2/100</f>
        <v/>
      </c>
      <c r="L47" s="2">
        <f>=J47*Parametrat!$B$3/100</f>
        <v/>
      </c>
      <c r="M47" s="2">
        <f>=MAX(0,J47-K47-L47)</f>
        <v/>
      </c>
      <c r="N47" s="2">
        <f>=IF(M47&lt;=Parametrat!$B$7,0,IF(M47&lt;=Parametrat!$B$8,(M47-Parametrat!$B$7)*Parametrat!$B$9/100,(Parametrat!$B$8-Parametrat!$B$7)*Parametrat!$B$9/100+(M47-Parametrat!$B$8)*Parametrat!$B$10/100))</f>
        <v/>
      </c>
      <c r="O47" s="2">
        <f>=J47-K47-L47-N47</f>
        <v/>
      </c>
      <c r="P47" s="2">
        <f>=MIN(J47,Parametrat!$B$6)*Parametrat!$B$4/100</f>
        <v/>
      </c>
      <c r="Q47" s="2">
        <f>=J47*Parametrat!$B$5/100</f>
        <v/>
      </c>
      <c r="R47" s="2">
        <f>=J47+P47+Q47</f>
        <v/>
      </c>
    </row>
    <row r="48">
      <c r="A48" s="2">
        <f>=IF('Punonjësit'!A48="","",'Punonjësit'!A48)</f>
        <v/>
      </c>
      <c r="B48" s="2">
        <f>=IF(A48="","",'Punonjësit'!B48)</f>
        <v/>
      </c>
      <c r="C48" s="2">
        <f>=IF(A48="","",'Punonjësit'!C48)</f>
        <v/>
      </c>
      <c r="D48" s="3">
        <f>'Orari 31 Ditë'!AH48</f>
        <v/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2">
        <f>=IF(A48="",0,E48+F48+G48*H48+I48)</f>
        <v/>
      </c>
      <c r="K48" s="2">
        <f>=MIN(J48,Parametrat!$B$6)*Parametrat!$B$2/100</f>
        <v/>
      </c>
      <c r="L48" s="2">
        <f>=J48*Parametrat!$B$3/100</f>
        <v/>
      </c>
      <c r="M48" s="2">
        <f>=MAX(0,J48-K48-L48)</f>
        <v/>
      </c>
      <c r="N48" s="2">
        <f>=IF(M48&lt;=Parametrat!$B$7,0,IF(M48&lt;=Parametrat!$B$8,(M48-Parametrat!$B$7)*Parametrat!$B$9/100,(Parametrat!$B$8-Parametrat!$B$7)*Parametrat!$B$9/100+(M48-Parametrat!$B$8)*Parametrat!$B$10/100))</f>
        <v/>
      </c>
      <c r="O48" s="2">
        <f>=J48-K48-L48-N48</f>
        <v/>
      </c>
      <c r="P48" s="2">
        <f>=MIN(J48,Parametrat!$B$6)*Parametrat!$B$4/100</f>
        <v/>
      </c>
      <c r="Q48" s="2">
        <f>=J48*Parametrat!$B$5/100</f>
        <v/>
      </c>
      <c r="R48" s="2">
        <f>=J48+P48+Q48</f>
        <v/>
      </c>
    </row>
    <row r="49">
      <c r="A49" s="2">
        <f>=IF('Punonjësit'!A49="","",'Punonjësit'!A49)</f>
        <v/>
      </c>
      <c r="B49" s="2">
        <f>=IF(A49="","",'Punonjësit'!B49)</f>
        <v/>
      </c>
      <c r="C49" s="2">
        <f>=IF(A49="","",'Punonjësit'!C49)</f>
        <v/>
      </c>
      <c r="D49" s="3">
        <f>'Orari 31 Ditë'!AH49</f>
        <v/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2">
        <f>=IF(A49="",0,E49+F49+G49*H49+I49)</f>
        <v/>
      </c>
      <c r="K49" s="2">
        <f>=MIN(J49,Parametrat!$B$6)*Parametrat!$B$2/100</f>
        <v/>
      </c>
      <c r="L49" s="2">
        <f>=J49*Parametrat!$B$3/100</f>
        <v/>
      </c>
      <c r="M49" s="2">
        <f>=MAX(0,J49-K49-L49)</f>
        <v/>
      </c>
      <c r="N49" s="2">
        <f>=IF(M49&lt;=Parametrat!$B$7,0,IF(M49&lt;=Parametrat!$B$8,(M49-Parametrat!$B$7)*Parametrat!$B$9/100,(Parametrat!$B$8-Parametrat!$B$7)*Parametrat!$B$9/100+(M49-Parametrat!$B$8)*Parametrat!$B$10/100))</f>
        <v/>
      </c>
      <c r="O49" s="2">
        <f>=J49-K49-L49-N49</f>
        <v/>
      </c>
      <c r="P49" s="2">
        <f>=MIN(J49,Parametrat!$B$6)*Parametrat!$B$4/100</f>
        <v/>
      </c>
      <c r="Q49" s="2">
        <f>=J49*Parametrat!$B$5/100</f>
        <v/>
      </c>
      <c r="R49" s="2">
        <f>=J49+P49+Q49</f>
        <v/>
      </c>
    </row>
    <row r="50">
      <c r="A50" s="2">
        <f>=IF('Punonjësit'!A50="","",'Punonjësit'!A50)</f>
        <v/>
      </c>
      <c r="B50" s="2">
        <f>=IF(A50="","",'Punonjësit'!B50)</f>
        <v/>
      </c>
      <c r="C50" s="2">
        <f>=IF(A50="","",'Punonjësit'!C50)</f>
        <v/>
      </c>
      <c r="D50" s="3">
        <f>'Orari 31 Ditë'!AH50</f>
        <v/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2">
        <f>=IF(A50="",0,E50+F50+G50*H50+I50)</f>
        <v/>
      </c>
      <c r="K50" s="2">
        <f>=MIN(J50,Parametrat!$B$6)*Parametrat!$B$2/100</f>
        <v/>
      </c>
      <c r="L50" s="2">
        <f>=J50*Parametrat!$B$3/100</f>
        <v/>
      </c>
      <c r="M50" s="2">
        <f>=MAX(0,J50-K50-L50)</f>
        <v/>
      </c>
      <c r="N50" s="2">
        <f>=IF(M50&lt;=Parametrat!$B$7,0,IF(M50&lt;=Parametrat!$B$8,(M50-Parametrat!$B$7)*Parametrat!$B$9/100,(Parametrat!$B$8-Parametrat!$B$7)*Parametrat!$B$9/100+(M50-Parametrat!$B$8)*Parametrat!$B$10/100))</f>
        <v/>
      </c>
      <c r="O50" s="2">
        <f>=J50-K50-L50-N50</f>
        <v/>
      </c>
      <c r="P50" s="2">
        <f>=MIN(J50,Parametrat!$B$6)*Parametrat!$B$4/100</f>
        <v/>
      </c>
      <c r="Q50" s="2">
        <f>=J50*Parametrat!$B$5/100</f>
        <v/>
      </c>
      <c r="R50" s="2">
        <f>=J50+P50+Q50</f>
        <v/>
      </c>
    </row>
    <row r="51">
      <c r="A51" s="2">
        <f>=IF('Punonjësit'!A51="","",'Punonjësit'!A51)</f>
        <v/>
      </c>
      <c r="B51" s="2">
        <f>=IF(A51="","",'Punonjësit'!B51)</f>
        <v/>
      </c>
      <c r="C51" s="2">
        <f>=IF(A51="","",'Punonjësit'!C51)</f>
        <v/>
      </c>
      <c r="D51" s="3">
        <f>'Orari 31 Ditë'!AH51</f>
        <v/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2">
        <f>=IF(A51="",0,E51+F51+G51*H51+I51)</f>
        <v/>
      </c>
      <c r="K51" s="2">
        <f>=MIN(J51,Parametrat!$B$6)*Parametrat!$B$2/100</f>
        <v/>
      </c>
      <c r="L51" s="2">
        <f>=J51*Parametrat!$B$3/100</f>
        <v/>
      </c>
      <c r="M51" s="2">
        <f>=MAX(0,J51-K51-L51)</f>
        <v/>
      </c>
      <c r="N51" s="2">
        <f>=IF(M51&lt;=Parametrat!$B$7,0,IF(M51&lt;=Parametrat!$B$8,(M51-Parametrat!$B$7)*Parametrat!$B$9/100,(Parametrat!$B$8-Parametrat!$B$7)*Parametrat!$B$9/100+(M51-Parametrat!$B$8)*Parametrat!$B$10/100))</f>
        <v/>
      </c>
      <c r="O51" s="2">
        <f>=J51-K51-L51-N51</f>
        <v/>
      </c>
      <c r="P51" s="2">
        <f>=MIN(J51,Parametrat!$B$6)*Parametrat!$B$4/100</f>
        <v/>
      </c>
      <c r="Q51" s="2">
        <f>=J51*Parametrat!$B$5/100</f>
        <v/>
      </c>
      <c r="R51" s="2">
        <f>=J51+P51+Q51</f>
        <v/>
      </c>
    </row>
    <row r="52">
      <c r="A52" s="2">
        <f>=IF('Punonjësit'!A52="","",'Punonjësit'!A52)</f>
        <v/>
      </c>
      <c r="B52" s="2">
        <f>=IF(A52="","",'Punonjësit'!B52)</f>
        <v/>
      </c>
      <c r="C52" s="2">
        <f>=IF(A52="","",'Punonjësit'!C52)</f>
        <v/>
      </c>
      <c r="D52" s="3">
        <f>'Orari 31 Ditë'!AH52</f>
        <v/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2">
        <f>=IF(A52="",0,E52+F52+G52*H52+I52)</f>
        <v/>
      </c>
      <c r="K52" s="2">
        <f>=MIN(J52,Parametrat!$B$6)*Parametrat!$B$2/100</f>
        <v/>
      </c>
      <c r="L52" s="2">
        <f>=J52*Parametrat!$B$3/100</f>
        <v/>
      </c>
      <c r="M52" s="2">
        <f>=MAX(0,J52-K52-L52)</f>
        <v/>
      </c>
      <c r="N52" s="2">
        <f>=IF(M52&lt;=Parametrat!$B$7,0,IF(M52&lt;=Parametrat!$B$8,(M52-Parametrat!$B$7)*Parametrat!$B$9/100,(Parametrat!$B$8-Parametrat!$B$7)*Parametrat!$B$9/100+(M52-Parametrat!$B$8)*Parametrat!$B$10/100))</f>
        <v/>
      </c>
      <c r="O52" s="2">
        <f>=J52-K52-L52-N52</f>
        <v/>
      </c>
      <c r="P52" s="2">
        <f>=MIN(J52,Parametrat!$B$6)*Parametrat!$B$4/100</f>
        <v/>
      </c>
      <c r="Q52" s="2">
        <f>=J52*Parametrat!$B$5/100</f>
        <v/>
      </c>
      <c r="R52" s="2">
        <f>=J52+P52+Q52</f>
        <v/>
      </c>
    </row>
    <row r="53">
      <c r="A53" s="2">
        <f>=IF('Punonjësit'!A53="","",'Punonjësit'!A53)</f>
        <v/>
      </c>
      <c r="B53" s="2">
        <f>=IF(A53="","",'Punonjësit'!B53)</f>
        <v/>
      </c>
      <c r="C53" s="2">
        <f>=IF(A53="","",'Punonjësit'!C53)</f>
        <v/>
      </c>
      <c r="D53" s="3">
        <f>'Orari 31 Ditë'!AH53</f>
        <v/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2">
        <f>=IF(A53="",0,E53+F53+G53*H53+I53)</f>
        <v/>
      </c>
      <c r="K53" s="2">
        <f>=MIN(J53,Parametrat!$B$6)*Parametrat!$B$2/100</f>
        <v/>
      </c>
      <c r="L53" s="2">
        <f>=J53*Parametrat!$B$3/100</f>
        <v/>
      </c>
      <c r="M53" s="2">
        <f>=MAX(0,J53-K53-L53)</f>
        <v/>
      </c>
      <c r="N53" s="2">
        <f>=IF(M53&lt;=Parametrat!$B$7,0,IF(M53&lt;=Parametrat!$B$8,(M53-Parametrat!$B$7)*Parametrat!$B$9/100,(Parametrat!$B$8-Parametrat!$B$7)*Parametrat!$B$9/100+(M53-Parametrat!$B$8)*Parametrat!$B$10/100))</f>
        <v/>
      </c>
      <c r="O53" s="2">
        <f>=J53-K53-L53-N53</f>
        <v/>
      </c>
      <c r="P53" s="2">
        <f>=MIN(J53,Parametrat!$B$6)*Parametrat!$B$4/100</f>
        <v/>
      </c>
      <c r="Q53" s="2">
        <f>=J53*Parametrat!$B$5/100</f>
        <v/>
      </c>
      <c r="R53" s="2">
        <f>=J53+P53+Q53</f>
        <v/>
      </c>
    </row>
    <row r="54">
      <c r="A54" s="2">
        <f>=IF('Punonjësit'!A54="","",'Punonjësit'!A54)</f>
        <v/>
      </c>
      <c r="B54" s="2">
        <f>=IF(A54="","",'Punonjësit'!B54)</f>
        <v/>
      </c>
      <c r="C54" s="2">
        <f>=IF(A54="","",'Punonjësit'!C54)</f>
        <v/>
      </c>
      <c r="D54" s="3">
        <f>'Orari 31 Ditë'!AH54</f>
        <v/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2">
        <f>=IF(A54="",0,E54+F54+G54*H54+I54)</f>
        <v/>
      </c>
      <c r="K54" s="2">
        <f>=MIN(J54,Parametrat!$B$6)*Parametrat!$B$2/100</f>
        <v/>
      </c>
      <c r="L54" s="2">
        <f>=J54*Parametrat!$B$3/100</f>
        <v/>
      </c>
      <c r="M54" s="2">
        <f>=MAX(0,J54-K54-L54)</f>
        <v/>
      </c>
      <c r="N54" s="2">
        <f>=IF(M54&lt;=Parametrat!$B$7,0,IF(M54&lt;=Parametrat!$B$8,(M54-Parametrat!$B$7)*Parametrat!$B$9/100,(Parametrat!$B$8-Parametrat!$B$7)*Parametrat!$B$9/100+(M54-Parametrat!$B$8)*Parametrat!$B$10/100))</f>
        <v/>
      </c>
      <c r="O54" s="2">
        <f>=J54-K54-L54-N54</f>
        <v/>
      </c>
      <c r="P54" s="2">
        <f>=MIN(J54,Parametrat!$B$6)*Parametrat!$B$4/100</f>
        <v/>
      </c>
      <c r="Q54" s="2">
        <f>=J54*Parametrat!$B$5/100</f>
        <v/>
      </c>
      <c r="R54" s="2">
        <f>=J54+P54+Q54</f>
        <v/>
      </c>
    </row>
    <row r="55">
      <c r="A55" s="2">
        <f>=IF('Punonjësit'!A55="","",'Punonjësit'!A55)</f>
        <v/>
      </c>
      <c r="B55" s="2">
        <f>=IF(A55="","",'Punonjësit'!B55)</f>
        <v/>
      </c>
      <c r="C55" s="2">
        <f>=IF(A55="","",'Punonjësit'!C55)</f>
        <v/>
      </c>
      <c r="D55" s="3">
        <f>'Orari 31 Ditë'!AH55</f>
        <v/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2">
        <f>=IF(A55="",0,E55+F55+G55*H55+I55)</f>
        <v/>
      </c>
      <c r="K55" s="2">
        <f>=MIN(J55,Parametrat!$B$6)*Parametrat!$B$2/100</f>
        <v/>
      </c>
      <c r="L55" s="2">
        <f>=J55*Parametrat!$B$3/100</f>
        <v/>
      </c>
      <c r="M55" s="2">
        <f>=MAX(0,J55-K55-L55)</f>
        <v/>
      </c>
      <c r="N55" s="2">
        <f>=IF(M55&lt;=Parametrat!$B$7,0,IF(M55&lt;=Parametrat!$B$8,(M55-Parametrat!$B$7)*Parametrat!$B$9/100,(Parametrat!$B$8-Parametrat!$B$7)*Parametrat!$B$9/100+(M55-Parametrat!$B$8)*Parametrat!$B$10/100))</f>
        <v/>
      </c>
      <c r="O55" s="2">
        <f>=J55-K55-L55-N55</f>
        <v/>
      </c>
      <c r="P55" s="2">
        <f>=MIN(J55,Parametrat!$B$6)*Parametrat!$B$4/100</f>
        <v/>
      </c>
      <c r="Q55" s="2">
        <f>=J55*Parametrat!$B$5/100</f>
        <v/>
      </c>
      <c r="R55" s="2">
        <f>=J55+P55+Q55</f>
        <v/>
      </c>
    </row>
    <row r="56">
      <c r="A56" s="2">
        <f>=IF('Punonjësit'!A56="","",'Punonjësit'!A56)</f>
        <v/>
      </c>
      <c r="B56" s="2">
        <f>=IF(A56="","",'Punonjësit'!B56)</f>
        <v/>
      </c>
      <c r="C56" s="2">
        <f>=IF(A56="","",'Punonjësit'!C56)</f>
        <v/>
      </c>
      <c r="D56" s="3">
        <f>'Orari 31 Ditë'!AH56</f>
        <v/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2">
        <f>=IF(A56="",0,E56+F56+G56*H56+I56)</f>
        <v/>
      </c>
      <c r="K56" s="2">
        <f>=MIN(J56,Parametrat!$B$6)*Parametrat!$B$2/100</f>
        <v/>
      </c>
      <c r="L56" s="2">
        <f>=J56*Parametrat!$B$3/100</f>
        <v/>
      </c>
      <c r="M56" s="2">
        <f>=MAX(0,J56-K56-L56)</f>
        <v/>
      </c>
      <c r="N56" s="2">
        <f>=IF(M56&lt;=Parametrat!$B$7,0,IF(M56&lt;=Parametrat!$B$8,(M56-Parametrat!$B$7)*Parametrat!$B$9/100,(Parametrat!$B$8-Parametrat!$B$7)*Parametrat!$B$9/100+(M56-Parametrat!$B$8)*Parametrat!$B$10/100))</f>
        <v/>
      </c>
      <c r="O56" s="2">
        <f>=J56-K56-L56-N56</f>
        <v/>
      </c>
      <c r="P56" s="2">
        <f>=MIN(J56,Parametrat!$B$6)*Parametrat!$B$4/100</f>
        <v/>
      </c>
      <c r="Q56" s="2">
        <f>=J56*Parametrat!$B$5/100</f>
        <v/>
      </c>
      <c r="R56" s="2">
        <f>=J56+P56+Q56</f>
        <v/>
      </c>
    </row>
    <row r="57">
      <c r="A57" s="2">
        <f>=IF('Punonjësit'!A57="","",'Punonjësit'!A57)</f>
        <v/>
      </c>
      <c r="B57" s="2">
        <f>=IF(A57="","",'Punonjësit'!B57)</f>
        <v/>
      </c>
      <c r="C57" s="2">
        <f>=IF(A57="","",'Punonjësit'!C57)</f>
        <v/>
      </c>
      <c r="D57" s="3">
        <f>'Orari 31 Ditë'!AH57</f>
        <v/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2">
        <f>=IF(A57="",0,E57+F57+G57*H57+I57)</f>
        <v/>
      </c>
      <c r="K57" s="2">
        <f>=MIN(J57,Parametrat!$B$6)*Parametrat!$B$2/100</f>
        <v/>
      </c>
      <c r="L57" s="2">
        <f>=J57*Parametrat!$B$3/100</f>
        <v/>
      </c>
      <c r="M57" s="2">
        <f>=MAX(0,J57-K57-L57)</f>
        <v/>
      </c>
      <c r="N57" s="2">
        <f>=IF(M57&lt;=Parametrat!$B$7,0,IF(M57&lt;=Parametrat!$B$8,(M57-Parametrat!$B$7)*Parametrat!$B$9/100,(Parametrat!$B$8-Parametrat!$B$7)*Parametrat!$B$9/100+(M57-Parametrat!$B$8)*Parametrat!$B$10/100))</f>
        <v/>
      </c>
      <c r="O57" s="2">
        <f>=J57-K57-L57-N57</f>
        <v/>
      </c>
      <c r="P57" s="2">
        <f>=MIN(J57,Parametrat!$B$6)*Parametrat!$B$4/100</f>
        <v/>
      </c>
      <c r="Q57" s="2">
        <f>=J57*Parametrat!$B$5/100</f>
        <v/>
      </c>
      <c r="R57" s="2">
        <f>=J57+P57+Q57</f>
        <v/>
      </c>
    </row>
    <row r="58">
      <c r="A58" s="2">
        <f>=IF('Punonjësit'!A58="","",'Punonjësit'!A58)</f>
        <v/>
      </c>
      <c r="B58" s="2">
        <f>=IF(A58="","",'Punonjësit'!B58)</f>
        <v/>
      </c>
      <c r="C58" s="2">
        <f>=IF(A58="","",'Punonjësit'!C58)</f>
        <v/>
      </c>
      <c r="D58" s="3">
        <f>'Orari 31 Ditë'!AH58</f>
        <v/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2">
        <f>=IF(A58="",0,E58+F58+G58*H58+I58)</f>
        <v/>
      </c>
      <c r="K58" s="2">
        <f>=MIN(J58,Parametrat!$B$6)*Parametrat!$B$2/100</f>
        <v/>
      </c>
      <c r="L58" s="2">
        <f>=J58*Parametrat!$B$3/100</f>
        <v/>
      </c>
      <c r="M58" s="2">
        <f>=MAX(0,J58-K58-L58)</f>
        <v/>
      </c>
      <c r="N58" s="2">
        <f>=IF(M58&lt;=Parametrat!$B$7,0,IF(M58&lt;=Parametrat!$B$8,(M58-Parametrat!$B$7)*Parametrat!$B$9/100,(Parametrat!$B$8-Parametrat!$B$7)*Parametrat!$B$9/100+(M58-Parametrat!$B$8)*Parametrat!$B$10/100))</f>
        <v/>
      </c>
      <c r="O58" s="2">
        <f>=J58-K58-L58-N58</f>
        <v/>
      </c>
      <c r="P58" s="2">
        <f>=MIN(J58,Parametrat!$B$6)*Parametrat!$B$4/100</f>
        <v/>
      </c>
      <c r="Q58" s="2">
        <f>=J58*Parametrat!$B$5/100</f>
        <v/>
      </c>
      <c r="R58" s="2">
        <f>=J58+P58+Q58</f>
        <v/>
      </c>
    </row>
    <row r="59">
      <c r="A59" s="2">
        <f>=IF('Punonjësit'!A59="","",'Punonjësit'!A59)</f>
        <v/>
      </c>
      <c r="B59" s="2">
        <f>=IF(A59="","",'Punonjësit'!B59)</f>
        <v/>
      </c>
      <c r="C59" s="2">
        <f>=IF(A59="","",'Punonjësit'!C59)</f>
        <v/>
      </c>
      <c r="D59" s="3">
        <f>'Orari 31 Ditë'!AH59</f>
        <v/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2">
        <f>=IF(A59="",0,E59+F59+G59*H59+I59)</f>
        <v/>
      </c>
      <c r="K59" s="2">
        <f>=MIN(J59,Parametrat!$B$6)*Parametrat!$B$2/100</f>
        <v/>
      </c>
      <c r="L59" s="2">
        <f>=J59*Parametrat!$B$3/100</f>
        <v/>
      </c>
      <c r="M59" s="2">
        <f>=MAX(0,J59-K59-L59)</f>
        <v/>
      </c>
      <c r="N59" s="2">
        <f>=IF(M59&lt;=Parametrat!$B$7,0,IF(M59&lt;=Parametrat!$B$8,(M59-Parametrat!$B$7)*Parametrat!$B$9/100,(Parametrat!$B$8-Parametrat!$B$7)*Parametrat!$B$9/100+(M59-Parametrat!$B$8)*Parametrat!$B$10/100))</f>
        <v/>
      </c>
      <c r="O59" s="2">
        <f>=J59-K59-L59-N59</f>
        <v/>
      </c>
      <c r="P59" s="2">
        <f>=MIN(J59,Parametrat!$B$6)*Parametrat!$B$4/100</f>
        <v/>
      </c>
      <c r="Q59" s="2">
        <f>=J59*Parametrat!$B$5/100</f>
        <v/>
      </c>
      <c r="R59" s="2">
        <f>=J59+P59+Q59</f>
        <v/>
      </c>
    </row>
    <row r="60">
      <c r="A60" s="2">
        <f>=IF('Punonjësit'!A60="","",'Punonjësit'!A60)</f>
        <v/>
      </c>
      <c r="B60" s="2">
        <f>=IF(A60="","",'Punonjësit'!B60)</f>
        <v/>
      </c>
      <c r="C60" s="2">
        <f>=IF(A60="","",'Punonjësit'!C60)</f>
        <v/>
      </c>
      <c r="D60" s="3">
        <f>'Orari 31 Ditë'!AH60</f>
        <v/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2">
        <f>=IF(A60="",0,E60+F60+G60*H60+I60)</f>
        <v/>
      </c>
      <c r="K60" s="2">
        <f>=MIN(J60,Parametrat!$B$6)*Parametrat!$B$2/100</f>
        <v/>
      </c>
      <c r="L60" s="2">
        <f>=J60*Parametrat!$B$3/100</f>
        <v/>
      </c>
      <c r="M60" s="2">
        <f>=MAX(0,J60-K60-L60)</f>
        <v/>
      </c>
      <c r="N60" s="2">
        <f>=IF(M60&lt;=Parametrat!$B$7,0,IF(M60&lt;=Parametrat!$B$8,(M60-Parametrat!$B$7)*Parametrat!$B$9/100,(Parametrat!$B$8-Parametrat!$B$7)*Parametrat!$B$9/100+(M60-Parametrat!$B$8)*Parametrat!$B$10/100))</f>
        <v/>
      </c>
      <c r="O60" s="2">
        <f>=J60-K60-L60-N60</f>
        <v/>
      </c>
      <c r="P60" s="2">
        <f>=MIN(J60,Parametrat!$B$6)*Parametrat!$B$4/100</f>
        <v/>
      </c>
      <c r="Q60" s="2">
        <f>=J60*Parametrat!$B$5/100</f>
        <v/>
      </c>
      <c r="R60" s="2">
        <f>=J60+P60+Q60</f>
        <v/>
      </c>
    </row>
    <row r="61">
      <c r="A61" s="2">
        <f>=IF('Punonjësit'!A61="","",'Punonjësit'!A61)</f>
        <v/>
      </c>
      <c r="B61" s="2">
        <f>=IF(A61="","",'Punonjësit'!B61)</f>
        <v/>
      </c>
      <c r="C61" s="2">
        <f>=IF(A61="","",'Punonjësit'!C61)</f>
        <v/>
      </c>
      <c r="D61" s="3">
        <f>'Orari 31 Ditë'!AH61</f>
        <v/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2">
        <f>=IF(A61="",0,E61+F61+G61*H61+I61)</f>
        <v/>
      </c>
      <c r="K61" s="2">
        <f>=MIN(J61,Parametrat!$B$6)*Parametrat!$B$2/100</f>
        <v/>
      </c>
      <c r="L61" s="2">
        <f>=J61*Parametrat!$B$3/100</f>
        <v/>
      </c>
      <c r="M61" s="2">
        <f>=MAX(0,J61-K61-L61)</f>
        <v/>
      </c>
      <c r="N61" s="2">
        <f>=IF(M61&lt;=Parametrat!$B$7,0,IF(M61&lt;=Parametrat!$B$8,(M61-Parametrat!$B$7)*Parametrat!$B$9/100,(Parametrat!$B$8-Parametrat!$B$7)*Parametrat!$B$9/100+(M61-Parametrat!$B$8)*Parametrat!$B$10/100))</f>
        <v/>
      </c>
      <c r="O61" s="2">
        <f>=J61-K61-L61-N61</f>
        <v/>
      </c>
      <c r="P61" s="2">
        <f>=MIN(J61,Parametrat!$B$6)*Parametrat!$B$4/100</f>
        <v/>
      </c>
      <c r="Q61" s="2">
        <f>=J61*Parametrat!$B$5/100</f>
        <v/>
      </c>
      <c r="R61" s="2">
        <f>=J61+P61+Q61</f>
        <v/>
      </c>
    </row>
    <row r="62">
      <c r="A62" s="2">
        <f>=IF('Punonjësit'!A62="","",'Punonjësit'!A62)</f>
        <v/>
      </c>
      <c r="B62" s="2">
        <f>=IF(A62="","",'Punonjësit'!B62)</f>
        <v/>
      </c>
      <c r="C62" s="2">
        <f>=IF(A62="","",'Punonjësit'!C62)</f>
        <v/>
      </c>
      <c r="D62" s="3">
        <f>'Orari 31 Ditë'!AH62</f>
        <v/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2">
        <f>=IF(A62="",0,E62+F62+G62*H62+I62)</f>
        <v/>
      </c>
      <c r="K62" s="2">
        <f>=MIN(J62,Parametrat!$B$6)*Parametrat!$B$2/100</f>
        <v/>
      </c>
      <c r="L62" s="2">
        <f>=J62*Parametrat!$B$3/100</f>
        <v/>
      </c>
      <c r="M62" s="2">
        <f>=MAX(0,J62-K62-L62)</f>
        <v/>
      </c>
      <c r="N62" s="2">
        <f>=IF(M62&lt;=Parametrat!$B$7,0,IF(M62&lt;=Parametrat!$B$8,(M62-Parametrat!$B$7)*Parametrat!$B$9/100,(Parametrat!$B$8-Parametrat!$B$7)*Parametrat!$B$9/100+(M62-Parametrat!$B$8)*Parametrat!$B$10/100))</f>
        <v/>
      </c>
      <c r="O62" s="2">
        <f>=J62-K62-L62-N62</f>
        <v/>
      </c>
      <c r="P62" s="2">
        <f>=MIN(J62,Parametrat!$B$6)*Parametrat!$B$4/100</f>
        <v/>
      </c>
      <c r="Q62" s="2">
        <f>=J62*Parametrat!$B$5/100</f>
        <v/>
      </c>
      <c r="R62" s="2">
        <f>=J62+P62+Q62</f>
        <v/>
      </c>
    </row>
    <row r="63">
      <c r="A63" s="2">
        <f>=IF('Punonjësit'!A63="","",'Punonjësit'!A63)</f>
        <v/>
      </c>
      <c r="B63" s="2">
        <f>=IF(A63="","",'Punonjësit'!B63)</f>
        <v/>
      </c>
      <c r="C63" s="2">
        <f>=IF(A63="","",'Punonjësit'!C63)</f>
        <v/>
      </c>
      <c r="D63" s="3">
        <f>'Orari 31 Ditë'!AH63</f>
        <v/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2">
        <f>=IF(A63="",0,E63+F63+G63*H63+I63)</f>
        <v/>
      </c>
      <c r="K63" s="2">
        <f>=MIN(J63,Parametrat!$B$6)*Parametrat!$B$2/100</f>
        <v/>
      </c>
      <c r="L63" s="2">
        <f>=J63*Parametrat!$B$3/100</f>
        <v/>
      </c>
      <c r="M63" s="2">
        <f>=MAX(0,J63-K63-L63)</f>
        <v/>
      </c>
      <c r="N63" s="2">
        <f>=IF(M63&lt;=Parametrat!$B$7,0,IF(M63&lt;=Parametrat!$B$8,(M63-Parametrat!$B$7)*Parametrat!$B$9/100,(Parametrat!$B$8-Parametrat!$B$7)*Parametrat!$B$9/100+(M63-Parametrat!$B$8)*Parametrat!$B$10/100))</f>
        <v/>
      </c>
      <c r="O63" s="2">
        <f>=J63-K63-L63-N63</f>
        <v/>
      </c>
      <c r="P63" s="2">
        <f>=MIN(J63,Parametrat!$B$6)*Parametrat!$B$4/100</f>
        <v/>
      </c>
      <c r="Q63" s="2">
        <f>=J63*Parametrat!$B$5/100</f>
        <v/>
      </c>
      <c r="R63" s="2">
        <f>=J63+P63+Q63</f>
        <v/>
      </c>
    </row>
    <row r="64">
      <c r="A64" s="2">
        <f>=IF('Punonjësit'!A64="","",'Punonjësit'!A64)</f>
        <v/>
      </c>
      <c r="B64" s="2">
        <f>=IF(A64="","",'Punonjësit'!B64)</f>
        <v/>
      </c>
      <c r="C64" s="2">
        <f>=IF(A64="","",'Punonjësit'!C64)</f>
        <v/>
      </c>
      <c r="D64" s="3">
        <f>'Orari 31 Ditë'!AH64</f>
        <v/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2">
        <f>=IF(A64="",0,E64+F64+G64*H64+I64)</f>
        <v/>
      </c>
      <c r="K64" s="2">
        <f>=MIN(J64,Parametrat!$B$6)*Parametrat!$B$2/100</f>
        <v/>
      </c>
      <c r="L64" s="2">
        <f>=J64*Parametrat!$B$3/100</f>
        <v/>
      </c>
      <c r="M64" s="2">
        <f>=MAX(0,J64-K64-L64)</f>
        <v/>
      </c>
      <c r="N64" s="2">
        <f>=IF(M64&lt;=Parametrat!$B$7,0,IF(M64&lt;=Parametrat!$B$8,(M64-Parametrat!$B$7)*Parametrat!$B$9/100,(Parametrat!$B$8-Parametrat!$B$7)*Parametrat!$B$9/100+(M64-Parametrat!$B$8)*Parametrat!$B$10/100))</f>
        <v/>
      </c>
      <c r="O64" s="2">
        <f>=J64-K64-L64-N64</f>
        <v/>
      </c>
      <c r="P64" s="2">
        <f>=MIN(J64,Parametrat!$B$6)*Parametrat!$B$4/100</f>
        <v/>
      </c>
      <c r="Q64" s="2">
        <f>=J64*Parametrat!$B$5/100</f>
        <v/>
      </c>
      <c r="R64" s="2">
        <f>=J64+P64+Q64</f>
        <v/>
      </c>
    </row>
    <row r="65">
      <c r="A65" s="2">
        <f>=IF('Punonjësit'!A65="","",'Punonjësit'!A65)</f>
        <v/>
      </c>
      <c r="B65" s="2">
        <f>=IF(A65="","",'Punonjësit'!B65)</f>
        <v/>
      </c>
      <c r="C65" s="2">
        <f>=IF(A65="","",'Punonjësit'!C65)</f>
        <v/>
      </c>
      <c r="D65" s="3">
        <f>'Orari 31 Ditë'!AH65</f>
        <v/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2">
        <f>=IF(A65="",0,E65+F65+G65*H65+I65)</f>
        <v/>
      </c>
      <c r="K65" s="2">
        <f>=MIN(J65,Parametrat!$B$6)*Parametrat!$B$2/100</f>
        <v/>
      </c>
      <c r="L65" s="2">
        <f>=J65*Parametrat!$B$3/100</f>
        <v/>
      </c>
      <c r="M65" s="2">
        <f>=MAX(0,J65-K65-L65)</f>
        <v/>
      </c>
      <c r="N65" s="2">
        <f>=IF(M65&lt;=Parametrat!$B$7,0,IF(M65&lt;=Parametrat!$B$8,(M65-Parametrat!$B$7)*Parametrat!$B$9/100,(Parametrat!$B$8-Parametrat!$B$7)*Parametrat!$B$9/100+(M65-Parametrat!$B$8)*Parametrat!$B$10/100))</f>
        <v/>
      </c>
      <c r="O65" s="2">
        <f>=J65-K65-L65-N65</f>
        <v/>
      </c>
      <c r="P65" s="2">
        <f>=MIN(J65,Parametrat!$B$6)*Parametrat!$B$4/100</f>
        <v/>
      </c>
      <c r="Q65" s="2">
        <f>=J65*Parametrat!$B$5/100</f>
        <v/>
      </c>
      <c r="R65" s="2">
        <f>=J65+P65+Q65</f>
        <v/>
      </c>
    </row>
    <row r="66">
      <c r="A66" s="2">
        <f>=IF('Punonjësit'!A66="","",'Punonjësit'!A66)</f>
        <v/>
      </c>
      <c r="B66" s="2">
        <f>=IF(A66="","",'Punonjësit'!B66)</f>
        <v/>
      </c>
      <c r="C66" s="2">
        <f>=IF(A66="","",'Punonjësit'!C66)</f>
        <v/>
      </c>
      <c r="D66" s="3">
        <f>'Orari 31 Ditë'!AH66</f>
        <v/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2">
        <f>=IF(A66="",0,E66+F66+G66*H66+I66)</f>
        <v/>
      </c>
      <c r="K66" s="2">
        <f>=MIN(J66,Parametrat!$B$6)*Parametrat!$B$2/100</f>
        <v/>
      </c>
      <c r="L66" s="2">
        <f>=J66*Parametrat!$B$3/100</f>
        <v/>
      </c>
      <c r="M66" s="2">
        <f>=MAX(0,J66-K66-L66)</f>
        <v/>
      </c>
      <c r="N66" s="2">
        <f>=IF(M66&lt;=Parametrat!$B$7,0,IF(M66&lt;=Parametrat!$B$8,(M66-Parametrat!$B$7)*Parametrat!$B$9/100,(Parametrat!$B$8-Parametrat!$B$7)*Parametrat!$B$9/100+(M66-Parametrat!$B$8)*Parametrat!$B$10/100))</f>
        <v/>
      </c>
      <c r="O66" s="2">
        <f>=J66-K66-L66-N66</f>
        <v/>
      </c>
      <c r="P66" s="2">
        <f>=MIN(J66,Parametrat!$B$6)*Parametrat!$B$4/100</f>
        <v/>
      </c>
      <c r="Q66" s="2">
        <f>=J66*Parametrat!$B$5/100</f>
        <v/>
      </c>
      <c r="R66" s="2">
        <f>=J66+P66+Q66</f>
        <v/>
      </c>
    </row>
    <row r="67">
      <c r="A67" s="2">
        <f>=IF('Punonjësit'!A67="","",'Punonjësit'!A67)</f>
        <v/>
      </c>
      <c r="B67" s="2">
        <f>=IF(A67="","",'Punonjësit'!B67)</f>
        <v/>
      </c>
      <c r="C67" s="2">
        <f>=IF(A67="","",'Punonjësit'!C67)</f>
        <v/>
      </c>
      <c r="D67" s="3">
        <f>'Orari 31 Ditë'!AH67</f>
        <v/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2">
        <f>=IF(A67="",0,E67+F67+G67*H67+I67)</f>
        <v/>
      </c>
      <c r="K67" s="2">
        <f>=MIN(J67,Parametrat!$B$6)*Parametrat!$B$2/100</f>
        <v/>
      </c>
      <c r="L67" s="2">
        <f>=J67*Parametrat!$B$3/100</f>
        <v/>
      </c>
      <c r="M67" s="2">
        <f>=MAX(0,J67-K67-L67)</f>
        <v/>
      </c>
      <c r="N67" s="2">
        <f>=IF(M67&lt;=Parametrat!$B$7,0,IF(M67&lt;=Parametrat!$B$8,(M67-Parametrat!$B$7)*Parametrat!$B$9/100,(Parametrat!$B$8-Parametrat!$B$7)*Parametrat!$B$9/100+(M67-Parametrat!$B$8)*Parametrat!$B$10/100))</f>
        <v/>
      </c>
      <c r="O67" s="2">
        <f>=J67-K67-L67-N67</f>
        <v/>
      </c>
      <c r="P67" s="2">
        <f>=MIN(J67,Parametrat!$B$6)*Parametrat!$B$4/100</f>
        <v/>
      </c>
      <c r="Q67" s="2">
        <f>=J67*Parametrat!$B$5/100</f>
        <v/>
      </c>
      <c r="R67" s="2">
        <f>=J67+P67+Q67</f>
        <v/>
      </c>
    </row>
    <row r="68">
      <c r="A68" s="2">
        <f>=IF('Punonjësit'!A68="","",'Punonjësit'!A68)</f>
        <v/>
      </c>
      <c r="B68" s="2">
        <f>=IF(A68="","",'Punonjësit'!B68)</f>
        <v/>
      </c>
      <c r="C68" s="2">
        <f>=IF(A68="","",'Punonjësit'!C68)</f>
        <v/>
      </c>
      <c r="D68" s="3">
        <f>'Orari 31 Ditë'!AH68</f>
        <v/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2">
        <f>=IF(A68="",0,E68+F68+G68*H68+I68)</f>
        <v/>
      </c>
      <c r="K68" s="2">
        <f>=MIN(J68,Parametrat!$B$6)*Parametrat!$B$2/100</f>
        <v/>
      </c>
      <c r="L68" s="2">
        <f>=J68*Parametrat!$B$3/100</f>
        <v/>
      </c>
      <c r="M68" s="2">
        <f>=MAX(0,J68-K68-L68)</f>
        <v/>
      </c>
      <c r="N68" s="2">
        <f>=IF(M68&lt;=Parametrat!$B$7,0,IF(M68&lt;=Parametrat!$B$8,(M68-Parametrat!$B$7)*Parametrat!$B$9/100,(Parametrat!$B$8-Parametrat!$B$7)*Parametrat!$B$9/100+(M68-Parametrat!$B$8)*Parametrat!$B$10/100))</f>
        <v/>
      </c>
      <c r="O68" s="2">
        <f>=J68-K68-L68-N68</f>
        <v/>
      </c>
      <c r="P68" s="2">
        <f>=MIN(J68,Parametrat!$B$6)*Parametrat!$B$4/100</f>
        <v/>
      </c>
      <c r="Q68" s="2">
        <f>=J68*Parametrat!$B$5/100</f>
        <v/>
      </c>
      <c r="R68" s="2">
        <f>=J68+P68+Q68</f>
        <v/>
      </c>
    </row>
    <row r="69">
      <c r="A69" s="2">
        <f>=IF('Punonjësit'!A69="","",'Punonjësit'!A69)</f>
        <v/>
      </c>
      <c r="B69" s="2">
        <f>=IF(A69="","",'Punonjësit'!B69)</f>
        <v/>
      </c>
      <c r="C69" s="2">
        <f>=IF(A69="","",'Punonjësit'!C69)</f>
        <v/>
      </c>
      <c r="D69" s="3">
        <f>'Orari 31 Ditë'!AH69</f>
        <v/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2">
        <f>=IF(A69="",0,E69+F69+G69*H69+I69)</f>
        <v/>
      </c>
      <c r="K69" s="2">
        <f>=MIN(J69,Parametrat!$B$6)*Parametrat!$B$2/100</f>
        <v/>
      </c>
      <c r="L69" s="2">
        <f>=J69*Parametrat!$B$3/100</f>
        <v/>
      </c>
      <c r="M69" s="2">
        <f>=MAX(0,J69-K69-L69)</f>
        <v/>
      </c>
      <c r="N69" s="2">
        <f>=IF(M69&lt;=Parametrat!$B$7,0,IF(M69&lt;=Parametrat!$B$8,(M69-Parametrat!$B$7)*Parametrat!$B$9/100,(Parametrat!$B$8-Parametrat!$B$7)*Parametrat!$B$9/100+(M69-Parametrat!$B$8)*Parametrat!$B$10/100))</f>
        <v/>
      </c>
      <c r="O69" s="2">
        <f>=J69-K69-L69-N69</f>
        <v/>
      </c>
      <c r="P69" s="2">
        <f>=MIN(J69,Parametrat!$B$6)*Parametrat!$B$4/100</f>
        <v/>
      </c>
      <c r="Q69" s="2">
        <f>=J69*Parametrat!$B$5/100</f>
        <v/>
      </c>
      <c r="R69" s="2">
        <f>=J69+P69+Q69</f>
        <v/>
      </c>
    </row>
    <row r="70">
      <c r="A70" s="2">
        <f>=IF('Punonjësit'!A70="","",'Punonjësit'!A70)</f>
        <v/>
      </c>
      <c r="B70" s="2">
        <f>=IF(A70="","",'Punonjësit'!B70)</f>
        <v/>
      </c>
      <c r="C70" s="2">
        <f>=IF(A70="","",'Punonjësit'!C70)</f>
        <v/>
      </c>
      <c r="D70" s="3">
        <f>'Orari 31 Ditë'!AH70</f>
        <v/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2">
        <f>=IF(A70="",0,E70+F70+G70*H70+I70)</f>
        <v/>
      </c>
      <c r="K70" s="2">
        <f>=MIN(J70,Parametrat!$B$6)*Parametrat!$B$2/100</f>
        <v/>
      </c>
      <c r="L70" s="2">
        <f>=J70*Parametrat!$B$3/100</f>
        <v/>
      </c>
      <c r="M70" s="2">
        <f>=MAX(0,J70-K70-L70)</f>
        <v/>
      </c>
      <c r="N70" s="2">
        <f>=IF(M70&lt;=Parametrat!$B$7,0,IF(M70&lt;=Parametrat!$B$8,(M70-Parametrat!$B$7)*Parametrat!$B$9/100,(Parametrat!$B$8-Parametrat!$B$7)*Parametrat!$B$9/100+(M70-Parametrat!$B$8)*Parametrat!$B$10/100))</f>
        <v/>
      </c>
      <c r="O70" s="2">
        <f>=J70-K70-L70-N70</f>
        <v/>
      </c>
      <c r="P70" s="2">
        <f>=MIN(J70,Parametrat!$B$6)*Parametrat!$B$4/100</f>
        <v/>
      </c>
      <c r="Q70" s="2">
        <f>=J70*Parametrat!$B$5/100</f>
        <v/>
      </c>
      <c r="R70" s="2">
        <f>=J70+P70+Q70</f>
        <v/>
      </c>
    </row>
    <row r="71">
      <c r="A71" s="2">
        <f>=IF('Punonjësit'!A71="","",'Punonjësit'!A71)</f>
        <v/>
      </c>
      <c r="B71" s="2">
        <f>=IF(A71="","",'Punonjësit'!B71)</f>
        <v/>
      </c>
      <c r="C71" s="2">
        <f>=IF(A71="","",'Punonjësit'!C71)</f>
        <v/>
      </c>
      <c r="D71" s="3">
        <f>'Orari 31 Ditë'!AH71</f>
        <v/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2">
        <f>=IF(A71="",0,E71+F71+G71*H71+I71)</f>
        <v/>
      </c>
      <c r="K71" s="2">
        <f>=MIN(J71,Parametrat!$B$6)*Parametrat!$B$2/100</f>
        <v/>
      </c>
      <c r="L71" s="2">
        <f>=J71*Parametrat!$B$3/100</f>
        <v/>
      </c>
      <c r="M71" s="2">
        <f>=MAX(0,J71-K71-L71)</f>
        <v/>
      </c>
      <c r="N71" s="2">
        <f>=IF(M71&lt;=Parametrat!$B$7,0,IF(M71&lt;=Parametrat!$B$8,(M71-Parametrat!$B$7)*Parametrat!$B$9/100,(Parametrat!$B$8-Parametrat!$B$7)*Parametrat!$B$9/100+(M71-Parametrat!$B$8)*Parametrat!$B$10/100))</f>
        <v/>
      </c>
      <c r="O71" s="2">
        <f>=J71-K71-L71-N71</f>
        <v/>
      </c>
      <c r="P71" s="2">
        <f>=MIN(J71,Parametrat!$B$6)*Parametrat!$B$4/100</f>
        <v/>
      </c>
      <c r="Q71" s="2">
        <f>=J71*Parametrat!$B$5/100</f>
        <v/>
      </c>
      <c r="R71" s="2">
        <f>=J71+P71+Q71</f>
        <v/>
      </c>
    </row>
    <row r="72">
      <c r="A72" s="2">
        <f>=IF('Punonjësit'!A72="","",'Punonjësit'!A72)</f>
        <v/>
      </c>
      <c r="B72" s="2">
        <f>=IF(A72="","",'Punonjësit'!B72)</f>
        <v/>
      </c>
      <c r="C72" s="2">
        <f>=IF(A72="","",'Punonjësit'!C72)</f>
        <v/>
      </c>
      <c r="D72" s="3">
        <f>'Orari 31 Ditë'!AH72</f>
        <v/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2">
        <f>=IF(A72="",0,E72+F72+G72*H72+I72)</f>
        <v/>
      </c>
      <c r="K72" s="2">
        <f>=MIN(J72,Parametrat!$B$6)*Parametrat!$B$2/100</f>
        <v/>
      </c>
      <c r="L72" s="2">
        <f>=J72*Parametrat!$B$3/100</f>
        <v/>
      </c>
      <c r="M72" s="2">
        <f>=MAX(0,J72-K72-L72)</f>
        <v/>
      </c>
      <c r="N72" s="2">
        <f>=IF(M72&lt;=Parametrat!$B$7,0,IF(M72&lt;=Parametrat!$B$8,(M72-Parametrat!$B$7)*Parametrat!$B$9/100,(Parametrat!$B$8-Parametrat!$B$7)*Parametrat!$B$9/100+(M72-Parametrat!$B$8)*Parametrat!$B$10/100))</f>
        <v/>
      </c>
      <c r="O72" s="2">
        <f>=J72-K72-L72-N72</f>
        <v/>
      </c>
      <c r="P72" s="2">
        <f>=MIN(J72,Parametrat!$B$6)*Parametrat!$B$4/100</f>
        <v/>
      </c>
      <c r="Q72" s="2">
        <f>=J72*Parametrat!$B$5/100</f>
        <v/>
      </c>
      <c r="R72" s="2">
        <f>=J72+P72+Q72</f>
        <v/>
      </c>
    </row>
    <row r="73">
      <c r="A73" s="2">
        <f>=IF('Punonjësit'!A73="","",'Punonjësit'!A73)</f>
        <v/>
      </c>
      <c r="B73" s="2">
        <f>=IF(A73="","",'Punonjësit'!B73)</f>
        <v/>
      </c>
      <c r="C73" s="2">
        <f>=IF(A73="","",'Punonjësit'!C73)</f>
        <v/>
      </c>
      <c r="D73" s="3">
        <f>'Orari 31 Ditë'!AH73</f>
        <v/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2">
        <f>=IF(A73="",0,E73+F73+G73*H73+I73)</f>
        <v/>
      </c>
      <c r="K73" s="2">
        <f>=MIN(J73,Parametrat!$B$6)*Parametrat!$B$2/100</f>
        <v/>
      </c>
      <c r="L73" s="2">
        <f>=J73*Parametrat!$B$3/100</f>
        <v/>
      </c>
      <c r="M73" s="2">
        <f>=MAX(0,J73-K73-L73)</f>
        <v/>
      </c>
      <c r="N73" s="2">
        <f>=IF(M73&lt;=Parametrat!$B$7,0,IF(M73&lt;=Parametrat!$B$8,(M73-Parametrat!$B$7)*Parametrat!$B$9/100,(Parametrat!$B$8-Parametrat!$B$7)*Parametrat!$B$9/100+(M73-Parametrat!$B$8)*Parametrat!$B$10/100))</f>
        <v/>
      </c>
      <c r="O73" s="2">
        <f>=J73-K73-L73-N73</f>
        <v/>
      </c>
      <c r="P73" s="2">
        <f>=MIN(J73,Parametrat!$B$6)*Parametrat!$B$4/100</f>
        <v/>
      </c>
      <c r="Q73" s="2">
        <f>=J73*Parametrat!$B$5/100</f>
        <v/>
      </c>
      <c r="R73" s="2">
        <f>=J73+P73+Q73</f>
        <v/>
      </c>
    </row>
    <row r="74">
      <c r="A74" s="2">
        <f>=IF('Punonjësit'!A74="","",'Punonjësit'!A74)</f>
        <v/>
      </c>
      <c r="B74" s="2">
        <f>=IF(A74="","",'Punonjësit'!B74)</f>
        <v/>
      </c>
      <c r="C74" s="2">
        <f>=IF(A74="","",'Punonjësit'!C74)</f>
        <v/>
      </c>
      <c r="D74" s="3">
        <f>'Orari 31 Ditë'!AH74</f>
        <v/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2">
        <f>=IF(A74="",0,E74+F74+G74*H74+I74)</f>
        <v/>
      </c>
      <c r="K74" s="2">
        <f>=MIN(J74,Parametrat!$B$6)*Parametrat!$B$2/100</f>
        <v/>
      </c>
      <c r="L74" s="2">
        <f>=J74*Parametrat!$B$3/100</f>
        <v/>
      </c>
      <c r="M74" s="2">
        <f>=MAX(0,J74-K74-L74)</f>
        <v/>
      </c>
      <c r="N74" s="2">
        <f>=IF(M74&lt;=Parametrat!$B$7,0,IF(M74&lt;=Parametrat!$B$8,(M74-Parametrat!$B$7)*Parametrat!$B$9/100,(Parametrat!$B$8-Parametrat!$B$7)*Parametrat!$B$9/100+(M74-Parametrat!$B$8)*Parametrat!$B$10/100))</f>
        <v/>
      </c>
      <c r="O74" s="2">
        <f>=J74-K74-L74-N74</f>
        <v/>
      </c>
      <c r="P74" s="2">
        <f>=MIN(J74,Parametrat!$B$6)*Parametrat!$B$4/100</f>
        <v/>
      </c>
      <c r="Q74" s="2">
        <f>=J74*Parametrat!$B$5/100</f>
        <v/>
      </c>
      <c r="R74" s="2">
        <f>=J74+P74+Q74</f>
        <v/>
      </c>
    </row>
    <row r="75">
      <c r="A75" s="2">
        <f>=IF('Punonjësit'!A75="","",'Punonjësit'!A75)</f>
        <v/>
      </c>
      <c r="B75" s="2">
        <f>=IF(A75="","",'Punonjësit'!B75)</f>
        <v/>
      </c>
      <c r="C75" s="2">
        <f>=IF(A75="","",'Punonjësit'!C75)</f>
        <v/>
      </c>
      <c r="D75" s="3">
        <f>'Orari 31 Ditë'!AH75</f>
        <v/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2">
        <f>=IF(A75="",0,E75+F75+G75*H75+I75)</f>
        <v/>
      </c>
      <c r="K75" s="2">
        <f>=MIN(J75,Parametrat!$B$6)*Parametrat!$B$2/100</f>
        <v/>
      </c>
      <c r="L75" s="2">
        <f>=J75*Parametrat!$B$3/100</f>
        <v/>
      </c>
      <c r="M75" s="2">
        <f>=MAX(0,J75-K75-L75)</f>
        <v/>
      </c>
      <c r="N75" s="2">
        <f>=IF(M75&lt;=Parametrat!$B$7,0,IF(M75&lt;=Parametrat!$B$8,(M75-Parametrat!$B$7)*Parametrat!$B$9/100,(Parametrat!$B$8-Parametrat!$B$7)*Parametrat!$B$9/100+(M75-Parametrat!$B$8)*Parametrat!$B$10/100))</f>
        <v/>
      </c>
      <c r="O75" s="2">
        <f>=J75-K75-L75-N75</f>
        <v/>
      </c>
      <c r="P75" s="2">
        <f>=MIN(J75,Parametrat!$B$6)*Parametrat!$B$4/100</f>
        <v/>
      </c>
      <c r="Q75" s="2">
        <f>=J75*Parametrat!$B$5/100</f>
        <v/>
      </c>
      <c r="R75" s="2">
        <f>=J75+P75+Q75</f>
        <v/>
      </c>
    </row>
    <row r="76">
      <c r="A76" s="2">
        <f>=IF('Punonjësit'!A76="","",'Punonjësit'!A76)</f>
        <v/>
      </c>
      <c r="B76" s="2">
        <f>=IF(A76="","",'Punonjësit'!B76)</f>
        <v/>
      </c>
      <c r="C76" s="2">
        <f>=IF(A76="","",'Punonjësit'!C76)</f>
        <v/>
      </c>
      <c r="D76" s="3">
        <f>'Orari 31 Ditë'!AH76</f>
        <v/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2">
        <f>=IF(A76="",0,E76+F76+G76*H76+I76)</f>
        <v/>
      </c>
      <c r="K76" s="2">
        <f>=MIN(J76,Parametrat!$B$6)*Parametrat!$B$2/100</f>
        <v/>
      </c>
      <c r="L76" s="2">
        <f>=J76*Parametrat!$B$3/100</f>
        <v/>
      </c>
      <c r="M76" s="2">
        <f>=MAX(0,J76-K76-L76)</f>
        <v/>
      </c>
      <c r="N76" s="2">
        <f>=IF(M76&lt;=Parametrat!$B$7,0,IF(M76&lt;=Parametrat!$B$8,(M76-Parametrat!$B$7)*Parametrat!$B$9/100,(Parametrat!$B$8-Parametrat!$B$7)*Parametrat!$B$9/100+(M76-Parametrat!$B$8)*Parametrat!$B$10/100))</f>
        <v/>
      </c>
      <c r="O76" s="2">
        <f>=J76-K76-L76-N76</f>
        <v/>
      </c>
      <c r="P76" s="2">
        <f>=MIN(J76,Parametrat!$B$6)*Parametrat!$B$4/100</f>
        <v/>
      </c>
      <c r="Q76" s="2">
        <f>=J76*Parametrat!$B$5/100</f>
        <v/>
      </c>
      <c r="R76" s="2">
        <f>=J76+P76+Q76</f>
        <v/>
      </c>
    </row>
    <row r="77">
      <c r="A77" s="2">
        <f>=IF('Punonjësit'!A77="","",'Punonjësit'!A77)</f>
        <v/>
      </c>
      <c r="B77" s="2">
        <f>=IF(A77="","",'Punonjësit'!B77)</f>
        <v/>
      </c>
      <c r="C77" s="2">
        <f>=IF(A77="","",'Punonjësit'!C77)</f>
        <v/>
      </c>
      <c r="D77" s="3">
        <f>'Orari 31 Ditë'!AH77</f>
        <v/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2">
        <f>=IF(A77="",0,E77+F77+G77*H77+I77)</f>
        <v/>
      </c>
      <c r="K77" s="2">
        <f>=MIN(J77,Parametrat!$B$6)*Parametrat!$B$2/100</f>
        <v/>
      </c>
      <c r="L77" s="2">
        <f>=J77*Parametrat!$B$3/100</f>
        <v/>
      </c>
      <c r="M77" s="2">
        <f>=MAX(0,J77-K77-L77)</f>
        <v/>
      </c>
      <c r="N77" s="2">
        <f>=IF(M77&lt;=Parametrat!$B$7,0,IF(M77&lt;=Parametrat!$B$8,(M77-Parametrat!$B$7)*Parametrat!$B$9/100,(Parametrat!$B$8-Parametrat!$B$7)*Parametrat!$B$9/100+(M77-Parametrat!$B$8)*Parametrat!$B$10/100))</f>
        <v/>
      </c>
      <c r="O77" s="2">
        <f>=J77-K77-L77-N77</f>
        <v/>
      </c>
      <c r="P77" s="2">
        <f>=MIN(J77,Parametrat!$B$6)*Parametrat!$B$4/100</f>
        <v/>
      </c>
      <c r="Q77" s="2">
        <f>=J77*Parametrat!$B$5/100</f>
        <v/>
      </c>
      <c r="R77" s="2">
        <f>=J77+P77+Q77</f>
        <v/>
      </c>
    </row>
    <row r="78">
      <c r="A78" s="2">
        <f>=IF('Punonjësit'!A78="","",'Punonjësit'!A78)</f>
        <v/>
      </c>
      <c r="B78" s="2">
        <f>=IF(A78="","",'Punonjësit'!B78)</f>
        <v/>
      </c>
      <c r="C78" s="2">
        <f>=IF(A78="","",'Punonjësit'!C78)</f>
        <v/>
      </c>
      <c r="D78" s="3">
        <f>'Orari 31 Ditë'!AH78</f>
        <v/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2">
        <f>=IF(A78="",0,E78+F78+G78*H78+I78)</f>
        <v/>
      </c>
      <c r="K78" s="2">
        <f>=MIN(J78,Parametrat!$B$6)*Parametrat!$B$2/100</f>
        <v/>
      </c>
      <c r="L78" s="2">
        <f>=J78*Parametrat!$B$3/100</f>
        <v/>
      </c>
      <c r="M78" s="2">
        <f>=MAX(0,J78-K78-L78)</f>
        <v/>
      </c>
      <c r="N78" s="2">
        <f>=IF(M78&lt;=Parametrat!$B$7,0,IF(M78&lt;=Parametrat!$B$8,(M78-Parametrat!$B$7)*Parametrat!$B$9/100,(Parametrat!$B$8-Parametrat!$B$7)*Parametrat!$B$9/100+(M78-Parametrat!$B$8)*Parametrat!$B$10/100))</f>
        <v/>
      </c>
      <c r="O78" s="2">
        <f>=J78-K78-L78-N78</f>
        <v/>
      </c>
      <c r="P78" s="2">
        <f>=MIN(J78,Parametrat!$B$6)*Parametrat!$B$4/100</f>
        <v/>
      </c>
      <c r="Q78" s="2">
        <f>=J78*Parametrat!$B$5/100</f>
        <v/>
      </c>
      <c r="R78" s="2">
        <f>=J78+P78+Q78</f>
        <v/>
      </c>
    </row>
    <row r="79">
      <c r="A79" s="2">
        <f>=IF('Punonjësit'!A79="","",'Punonjësit'!A79)</f>
        <v/>
      </c>
      <c r="B79" s="2">
        <f>=IF(A79="","",'Punonjësit'!B79)</f>
        <v/>
      </c>
      <c r="C79" s="2">
        <f>=IF(A79="","",'Punonjësit'!C79)</f>
        <v/>
      </c>
      <c r="D79" s="3">
        <f>'Orari 31 Ditë'!AH79</f>
        <v/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2">
        <f>=IF(A79="",0,E79+F79+G79*H79+I79)</f>
        <v/>
      </c>
      <c r="K79" s="2">
        <f>=MIN(J79,Parametrat!$B$6)*Parametrat!$B$2/100</f>
        <v/>
      </c>
      <c r="L79" s="2">
        <f>=J79*Parametrat!$B$3/100</f>
        <v/>
      </c>
      <c r="M79" s="2">
        <f>=MAX(0,J79-K79-L79)</f>
        <v/>
      </c>
      <c r="N79" s="2">
        <f>=IF(M79&lt;=Parametrat!$B$7,0,IF(M79&lt;=Parametrat!$B$8,(M79-Parametrat!$B$7)*Parametrat!$B$9/100,(Parametrat!$B$8-Parametrat!$B$7)*Parametrat!$B$9/100+(M79-Parametrat!$B$8)*Parametrat!$B$10/100))</f>
        <v/>
      </c>
      <c r="O79" s="2">
        <f>=J79-K79-L79-N79</f>
        <v/>
      </c>
      <c r="P79" s="2">
        <f>=MIN(J79,Parametrat!$B$6)*Parametrat!$B$4/100</f>
        <v/>
      </c>
      <c r="Q79" s="2">
        <f>=J79*Parametrat!$B$5/100</f>
        <v/>
      </c>
      <c r="R79" s="2">
        <f>=J79+P79+Q79</f>
        <v/>
      </c>
    </row>
    <row r="80">
      <c r="A80" s="2">
        <f>=IF('Punonjësit'!A80="","",'Punonjësit'!A80)</f>
        <v/>
      </c>
      <c r="B80" s="2">
        <f>=IF(A80="","",'Punonjësit'!B80)</f>
        <v/>
      </c>
      <c r="C80" s="2">
        <f>=IF(A80="","",'Punonjësit'!C80)</f>
        <v/>
      </c>
      <c r="D80" s="3">
        <f>'Orari 31 Ditë'!AH80</f>
        <v/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2">
        <f>=IF(A80="",0,E80+F80+G80*H80+I80)</f>
        <v/>
      </c>
      <c r="K80" s="2">
        <f>=MIN(J80,Parametrat!$B$6)*Parametrat!$B$2/100</f>
        <v/>
      </c>
      <c r="L80" s="2">
        <f>=J80*Parametrat!$B$3/100</f>
        <v/>
      </c>
      <c r="M80" s="2">
        <f>=MAX(0,J80-K80-L80)</f>
        <v/>
      </c>
      <c r="N80" s="2">
        <f>=IF(M80&lt;=Parametrat!$B$7,0,IF(M80&lt;=Parametrat!$B$8,(M80-Parametrat!$B$7)*Parametrat!$B$9/100,(Parametrat!$B$8-Parametrat!$B$7)*Parametrat!$B$9/100+(M80-Parametrat!$B$8)*Parametrat!$B$10/100))</f>
        <v/>
      </c>
      <c r="O80" s="2">
        <f>=J80-K80-L80-N80</f>
        <v/>
      </c>
      <c r="P80" s="2">
        <f>=MIN(J80,Parametrat!$B$6)*Parametrat!$B$4/100</f>
        <v/>
      </c>
      <c r="Q80" s="2">
        <f>=J80*Parametrat!$B$5/100</f>
        <v/>
      </c>
      <c r="R80" s="2">
        <f>=J80+P80+Q80</f>
        <v/>
      </c>
    </row>
    <row r="81">
      <c r="A81" s="2">
        <f>=IF('Punonjësit'!A81="","",'Punonjësit'!A81)</f>
        <v/>
      </c>
      <c r="B81" s="2">
        <f>=IF(A81="","",'Punonjësit'!B81)</f>
        <v/>
      </c>
      <c r="C81" s="2">
        <f>=IF(A81="","",'Punonjësit'!C81)</f>
        <v/>
      </c>
      <c r="D81" s="3">
        <f>'Orari 31 Ditë'!AH81</f>
        <v/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2">
        <f>=IF(A81="",0,E81+F81+G81*H81+I81)</f>
        <v/>
      </c>
      <c r="K81" s="2">
        <f>=MIN(J81,Parametrat!$B$6)*Parametrat!$B$2/100</f>
        <v/>
      </c>
      <c r="L81" s="2">
        <f>=J81*Parametrat!$B$3/100</f>
        <v/>
      </c>
      <c r="M81" s="2">
        <f>=MAX(0,J81-K81-L81)</f>
        <v/>
      </c>
      <c r="N81" s="2">
        <f>=IF(M81&lt;=Parametrat!$B$7,0,IF(M81&lt;=Parametrat!$B$8,(M81-Parametrat!$B$7)*Parametrat!$B$9/100,(Parametrat!$B$8-Parametrat!$B$7)*Parametrat!$B$9/100+(M81-Parametrat!$B$8)*Parametrat!$B$10/100))</f>
        <v/>
      </c>
      <c r="O81" s="2">
        <f>=J81-K81-L81-N81</f>
        <v/>
      </c>
      <c r="P81" s="2">
        <f>=MIN(J81,Parametrat!$B$6)*Parametrat!$B$4/100</f>
        <v/>
      </c>
      <c r="Q81" s="2">
        <f>=J81*Parametrat!$B$5/100</f>
        <v/>
      </c>
      <c r="R81" s="2">
        <f>=J81+P81+Q81</f>
        <v/>
      </c>
    </row>
    <row r="82">
      <c r="A82" s="2">
        <f>=IF('Punonjësit'!A82="","",'Punonjësit'!A82)</f>
        <v/>
      </c>
      <c r="B82" s="2">
        <f>=IF(A82="","",'Punonjësit'!B82)</f>
        <v/>
      </c>
      <c r="C82" s="2">
        <f>=IF(A82="","",'Punonjësit'!C82)</f>
        <v/>
      </c>
      <c r="D82" s="3">
        <f>'Orari 31 Ditë'!AH82</f>
        <v/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2">
        <f>=IF(A82="",0,E82+F82+G82*H82+I82)</f>
        <v/>
      </c>
      <c r="K82" s="2">
        <f>=MIN(J82,Parametrat!$B$6)*Parametrat!$B$2/100</f>
        <v/>
      </c>
      <c r="L82" s="2">
        <f>=J82*Parametrat!$B$3/100</f>
        <v/>
      </c>
      <c r="M82" s="2">
        <f>=MAX(0,J82-K82-L82)</f>
        <v/>
      </c>
      <c r="N82" s="2">
        <f>=IF(M82&lt;=Parametrat!$B$7,0,IF(M82&lt;=Parametrat!$B$8,(M82-Parametrat!$B$7)*Parametrat!$B$9/100,(Parametrat!$B$8-Parametrat!$B$7)*Parametrat!$B$9/100+(M82-Parametrat!$B$8)*Parametrat!$B$10/100))</f>
        <v/>
      </c>
      <c r="O82" s="2">
        <f>=J82-K82-L82-N82</f>
        <v/>
      </c>
      <c r="P82" s="2">
        <f>=MIN(J82,Parametrat!$B$6)*Parametrat!$B$4/100</f>
        <v/>
      </c>
      <c r="Q82" s="2">
        <f>=J82*Parametrat!$B$5/100</f>
        <v/>
      </c>
      <c r="R82" s="2">
        <f>=J82+P82+Q82</f>
        <v/>
      </c>
    </row>
    <row r="83">
      <c r="A83" s="2">
        <f>=IF('Punonjësit'!A83="","",'Punonjësit'!A83)</f>
        <v/>
      </c>
      <c r="B83" s="2">
        <f>=IF(A83="","",'Punonjësit'!B83)</f>
        <v/>
      </c>
      <c r="C83" s="2">
        <f>=IF(A83="","",'Punonjësit'!C83)</f>
        <v/>
      </c>
      <c r="D83" s="3">
        <f>'Orari 31 Ditë'!AH83</f>
        <v/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2">
        <f>=IF(A83="",0,E83+F83+G83*H83+I83)</f>
        <v/>
      </c>
      <c r="K83" s="2">
        <f>=MIN(J83,Parametrat!$B$6)*Parametrat!$B$2/100</f>
        <v/>
      </c>
      <c r="L83" s="2">
        <f>=J83*Parametrat!$B$3/100</f>
        <v/>
      </c>
      <c r="M83" s="2">
        <f>=MAX(0,J83-K83-L83)</f>
        <v/>
      </c>
      <c r="N83" s="2">
        <f>=IF(M83&lt;=Parametrat!$B$7,0,IF(M83&lt;=Parametrat!$B$8,(M83-Parametrat!$B$7)*Parametrat!$B$9/100,(Parametrat!$B$8-Parametrat!$B$7)*Parametrat!$B$9/100+(M83-Parametrat!$B$8)*Parametrat!$B$10/100))</f>
        <v/>
      </c>
      <c r="O83" s="2">
        <f>=J83-K83-L83-N83</f>
        <v/>
      </c>
      <c r="P83" s="2">
        <f>=MIN(J83,Parametrat!$B$6)*Parametrat!$B$4/100</f>
        <v/>
      </c>
      <c r="Q83" s="2">
        <f>=J83*Parametrat!$B$5/100</f>
        <v/>
      </c>
      <c r="R83" s="2">
        <f>=J83+P83+Q83</f>
        <v/>
      </c>
    </row>
    <row r="84">
      <c r="A84" s="2">
        <f>=IF('Punonjësit'!A84="","",'Punonjësit'!A84)</f>
        <v/>
      </c>
      <c r="B84" s="2">
        <f>=IF(A84="","",'Punonjësit'!B84)</f>
        <v/>
      </c>
      <c r="C84" s="2">
        <f>=IF(A84="","",'Punonjësit'!C84)</f>
        <v/>
      </c>
      <c r="D84" s="3">
        <f>'Orari 31 Ditë'!AH84</f>
        <v/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2">
        <f>=IF(A84="",0,E84+F84+G84*H84+I84)</f>
        <v/>
      </c>
      <c r="K84" s="2">
        <f>=MIN(J84,Parametrat!$B$6)*Parametrat!$B$2/100</f>
        <v/>
      </c>
      <c r="L84" s="2">
        <f>=J84*Parametrat!$B$3/100</f>
        <v/>
      </c>
      <c r="M84" s="2">
        <f>=MAX(0,J84-K84-L84)</f>
        <v/>
      </c>
      <c r="N84" s="2">
        <f>=IF(M84&lt;=Parametrat!$B$7,0,IF(M84&lt;=Parametrat!$B$8,(M84-Parametrat!$B$7)*Parametrat!$B$9/100,(Parametrat!$B$8-Parametrat!$B$7)*Parametrat!$B$9/100+(M84-Parametrat!$B$8)*Parametrat!$B$10/100))</f>
        <v/>
      </c>
      <c r="O84" s="2">
        <f>=J84-K84-L84-N84</f>
        <v/>
      </c>
      <c r="P84" s="2">
        <f>=MIN(J84,Parametrat!$B$6)*Parametrat!$B$4/100</f>
        <v/>
      </c>
      <c r="Q84" s="2">
        <f>=J84*Parametrat!$B$5/100</f>
        <v/>
      </c>
      <c r="R84" s="2">
        <f>=J84+P84+Q84</f>
        <v/>
      </c>
    </row>
    <row r="85">
      <c r="A85" s="2">
        <f>=IF('Punonjësit'!A85="","",'Punonjësit'!A85)</f>
        <v/>
      </c>
      <c r="B85" s="2">
        <f>=IF(A85="","",'Punonjësit'!B85)</f>
        <v/>
      </c>
      <c r="C85" s="2">
        <f>=IF(A85="","",'Punonjësit'!C85)</f>
        <v/>
      </c>
      <c r="D85" s="3">
        <f>'Orari 31 Ditë'!AH85</f>
        <v/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2">
        <f>=IF(A85="",0,E85+F85+G85*H85+I85)</f>
        <v/>
      </c>
      <c r="K85" s="2">
        <f>=MIN(J85,Parametrat!$B$6)*Parametrat!$B$2/100</f>
        <v/>
      </c>
      <c r="L85" s="2">
        <f>=J85*Parametrat!$B$3/100</f>
        <v/>
      </c>
      <c r="M85" s="2">
        <f>=MAX(0,J85-K85-L85)</f>
        <v/>
      </c>
      <c r="N85" s="2">
        <f>=IF(M85&lt;=Parametrat!$B$7,0,IF(M85&lt;=Parametrat!$B$8,(M85-Parametrat!$B$7)*Parametrat!$B$9/100,(Parametrat!$B$8-Parametrat!$B$7)*Parametrat!$B$9/100+(M85-Parametrat!$B$8)*Parametrat!$B$10/100))</f>
        <v/>
      </c>
      <c r="O85" s="2">
        <f>=J85-K85-L85-N85</f>
        <v/>
      </c>
      <c r="P85" s="2">
        <f>=MIN(J85,Parametrat!$B$6)*Parametrat!$B$4/100</f>
        <v/>
      </c>
      <c r="Q85" s="2">
        <f>=J85*Parametrat!$B$5/100</f>
        <v/>
      </c>
      <c r="R85" s="2">
        <f>=J85+P85+Q85</f>
        <v/>
      </c>
    </row>
    <row r="86">
      <c r="A86" s="2">
        <f>=IF('Punonjësit'!A86="","",'Punonjësit'!A86)</f>
        <v/>
      </c>
      <c r="B86" s="2">
        <f>=IF(A86="","",'Punonjësit'!B86)</f>
        <v/>
      </c>
      <c r="C86" s="2">
        <f>=IF(A86="","",'Punonjësit'!C86)</f>
        <v/>
      </c>
      <c r="D86" s="3">
        <f>'Orari 31 Ditë'!AH86</f>
        <v/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2">
        <f>=IF(A86="",0,E86+F86+G86*H86+I86)</f>
        <v/>
      </c>
      <c r="K86" s="2">
        <f>=MIN(J86,Parametrat!$B$6)*Parametrat!$B$2/100</f>
        <v/>
      </c>
      <c r="L86" s="2">
        <f>=J86*Parametrat!$B$3/100</f>
        <v/>
      </c>
      <c r="M86" s="2">
        <f>=MAX(0,J86-K86-L86)</f>
        <v/>
      </c>
      <c r="N86" s="2">
        <f>=IF(M86&lt;=Parametrat!$B$7,0,IF(M86&lt;=Parametrat!$B$8,(M86-Parametrat!$B$7)*Parametrat!$B$9/100,(Parametrat!$B$8-Parametrat!$B$7)*Parametrat!$B$9/100+(M86-Parametrat!$B$8)*Parametrat!$B$10/100))</f>
        <v/>
      </c>
      <c r="O86" s="2">
        <f>=J86-K86-L86-N86</f>
        <v/>
      </c>
      <c r="P86" s="2">
        <f>=MIN(J86,Parametrat!$B$6)*Parametrat!$B$4/100</f>
        <v/>
      </c>
      <c r="Q86" s="2">
        <f>=J86*Parametrat!$B$5/100</f>
        <v/>
      </c>
      <c r="R86" s="2">
        <f>=J86+P86+Q86</f>
        <v/>
      </c>
    </row>
    <row r="87">
      <c r="A87" s="2">
        <f>=IF('Punonjësit'!A87="","",'Punonjësit'!A87)</f>
        <v/>
      </c>
      <c r="B87" s="2">
        <f>=IF(A87="","",'Punonjësit'!B87)</f>
        <v/>
      </c>
      <c r="C87" s="2">
        <f>=IF(A87="","",'Punonjësit'!C87)</f>
        <v/>
      </c>
      <c r="D87" s="3">
        <f>'Orari 31 Ditë'!AH87</f>
        <v/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2">
        <f>=IF(A87="",0,E87+F87+G87*H87+I87)</f>
        <v/>
      </c>
      <c r="K87" s="2">
        <f>=MIN(J87,Parametrat!$B$6)*Parametrat!$B$2/100</f>
        <v/>
      </c>
      <c r="L87" s="2">
        <f>=J87*Parametrat!$B$3/100</f>
        <v/>
      </c>
      <c r="M87" s="2">
        <f>=MAX(0,J87-K87-L87)</f>
        <v/>
      </c>
      <c r="N87" s="2">
        <f>=IF(M87&lt;=Parametrat!$B$7,0,IF(M87&lt;=Parametrat!$B$8,(M87-Parametrat!$B$7)*Parametrat!$B$9/100,(Parametrat!$B$8-Parametrat!$B$7)*Parametrat!$B$9/100+(M87-Parametrat!$B$8)*Parametrat!$B$10/100))</f>
        <v/>
      </c>
      <c r="O87" s="2">
        <f>=J87-K87-L87-N87</f>
        <v/>
      </c>
      <c r="P87" s="2">
        <f>=MIN(J87,Parametrat!$B$6)*Parametrat!$B$4/100</f>
        <v/>
      </c>
      <c r="Q87" s="2">
        <f>=J87*Parametrat!$B$5/100</f>
        <v/>
      </c>
      <c r="R87" s="2">
        <f>=J87+P87+Q87</f>
        <v/>
      </c>
    </row>
    <row r="88">
      <c r="A88" s="2">
        <f>=IF('Punonjësit'!A88="","",'Punonjësit'!A88)</f>
        <v/>
      </c>
      <c r="B88" s="2">
        <f>=IF(A88="","",'Punonjësit'!B88)</f>
        <v/>
      </c>
      <c r="C88" s="2">
        <f>=IF(A88="","",'Punonjësit'!C88)</f>
        <v/>
      </c>
      <c r="D88" s="3">
        <f>'Orari 31 Ditë'!AH88</f>
        <v/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2">
        <f>=IF(A88="",0,E88+F88+G88*H88+I88)</f>
        <v/>
      </c>
      <c r="K88" s="2">
        <f>=MIN(J88,Parametrat!$B$6)*Parametrat!$B$2/100</f>
        <v/>
      </c>
      <c r="L88" s="2">
        <f>=J88*Parametrat!$B$3/100</f>
        <v/>
      </c>
      <c r="M88" s="2">
        <f>=MAX(0,J88-K88-L88)</f>
        <v/>
      </c>
      <c r="N88" s="2">
        <f>=IF(M88&lt;=Parametrat!$B$7,0,IF(M88&lt;=Parametrat!$B$8,(M88-Parametrat!$B$7)*Parametrat!$B$9/100,(Parametrat!$B$8-Parametrat!$B$7)*Parametrat!$B$9/100+(M88-Parametrat!$B$8)*Parametrat!$B$10/100))</f>
        <v/>
      </c>
      <c r="O88" s="2">
        <f>=J88-K88-L88-N88</f>
        <v/>
      </c>
      <c r="P88" s="2">
        <f>=MIN(J88,Parametrat!$B$6)*Parametrat!$B$4/100</f>
        <v/>
      </c>
      <c r="Q88" s="2">
        <f>=J88*Parametrat!$B$5/100</f>
        <v/>
      </c>
      <c r="R88" s="2">
        <f>=J88+P88+Q88</f>
        <v/>
      </c>
    </row>
    <row r="89">
      <c r="A89" s="2">
        <f>=IF('Punonjësit'!A89="","",'Punonjësit'!A89)</f>
        <v/>
      </c>
      <c r="B89" s="2">
        <f>=IF(A89="","",'Punonjësit'!B89)</f>
        <v/>
      </c>
      <c r="C89" s="2">
        <f>=IF(A89="","",'Punonjësit'!C89)</f>
        <v/>
      </c>
      <c r="D89" s="3">
        <f>'Orari 31 Ditë'!AH89</f>
        <v/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2">
        <f>=IF(A89="",0,E89+F89+G89*H89+I89)</f>
        <v/>
      </c>
      <c r="K89" s="2">
        <f>=MIN(J89,Parametrat!$B$6)*Parametrat!$B$2/100</f>
        <v/>
      </c>
      <c r="L89" s="2">
        <f>=J89*Parametrat!$B$3/100</f>
        <v/>
      </c>
      <c r="M89" s="2">
        <f>=MAX(0,J89-K89-L89)</f>
        <v/>
      </c>
      <c r="N89" s="2">
        <f>=IF(M89&lt;=Parametrat!$B$7,0,IF(M89&lt;=Parametrat!$B$8,(M89-Parametrat!$B$7)*Parametrat!$B$9/100,(Parametrat!$B$8-Parametrat!$B$7)*Parametrat!$B$9/100+(M89-Parametrat!$B$8)*Parametrat!$B$10/100))</f>
        <v/>
      </c>
      <c r="O89" s="2">
        <f>=J89-K89-L89-N89</f>
        <v/>
      </c>
      <c r="P89" s="2">
        <f>=MIN(J89,Parametrat!$B$6)*Parametrat!$B$4/100</f>
        <v/>
      </c>
      <c r="Q89" s="2">
        <f>=J89*Parametrat!$B$5/100</f>
        <v/>
      </c>
      <c r="R89" s="2">
        <f>=J89+P89+Q89</f>
        <v/>
      </c>
    </row>
    <row r="90">
      <c r="A90" s="2">
        <f>=IF('Punonjësit'!A90="","",'Punonjësit'!A90)</f>
        <v/>
      </c>
      <c r="B90" s="2">
        <f>=IF(A90="","",'Punonjësit'!B90)</f>
        <v/>
      </c>
      <c r="C90" s="2">
        <f>=IF(A90="","",'Punonjësit'!C90)</f>
        <v/>
      </c>
      <c r="D90" s="3">
        <f>'Orari 31 Ditë'!AH90</f>
        <v/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2">
        <f>=IF(A90="",0,E90+F90+G90*H90+I90)</f>
        <v/>
      </c>
      <c r="K90" s="2">
        <f>=MIN(J90,Parametrat!$B$6)*Parametrat!$B$2/100</f>
        <v/>
      </c>
      <c r="L90" s="2">
        <f>=J90*Parametrat!$B$3/100</f>
        <v/>
      </c>
      <c r="M90" s="2">
        <f>=MAX(0,J90-K90-L90)</f>
        <v/>
      </c>
      <c r="N90" s="2">
        <f>=IF(M90&lt;=Parametrat!$B$7,0,IF(M90&lt;=Parametrat!$B$8,(M90-Parametrat!$B$7)*Parametrat!$B$9/100,(Parametrat!$B$8-Parametrat!$B$7)*Parametrat!$B$9/100+(M90-Parametrat!$B$8)*Parametrat!$B$10/100))</f>
        <v/>
      </c>
      <c r="O90" s="2">
        <f>=J90-K90-L90-N90</f>
        <v/>
      </c>
      <c r="P90" s="2">
        <f>=MIN(J90,Parametrat!$B$6)*Parametrat!$B$4/100</f>
        <v/>
      </c>
      <c r="Q90" s="2">
        <f>=J90*Parametrat!$B$5/100</f>
        <v/>
      </c>
      <c r="R90" s="2">
        <f>=J90+P90+Q90</f>
        <v/>
      </c>
    </row>
    <row r="91">
      <c r="A91" s="2">
        <f>=IF('Punonjësit'!A91="","",'Punonjësit'!A91)</f>
        <v/>
      </c>
      <c r="B91" s="2">
        <f>=IF(A91="","",'Punonjësit'!B91)</f>
        <v/>
      </c>
      <c r="C91" s="2">
        <f>=IF(A91="","",'Punonjësit'!C91)</f>
        <v/>
      </c>
      <c r="D91" s="3">
        <f>'Orari 31 Ditë'!AH91</f>
        <v/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2">
        <f>=IF(A91="",0,E91+F91+G91*H91+I91)</f>
        <v/>
      </c>
      <c r="K91" s="2">
        <f>=MIN(J91,Parametrat!$B$6)*Parametrat!$B$2/100</f>
        <v/>
      </c>
      <c r="L91" s="2">
        <f>=J91*Parametrat!$B$3/100</f>
        <v/>
      </c>
      <c r="M91" s="2">
        <f>=MAX(0,J91-K91-L91)</f>
        <v/>
      </c>
      <c r="N91" s="2">
        <f>=IF(M91&lt;=Parametrat!$B$7,0,IF(M91&lt;=Parametrat!$B$8,(M91-Parametrat!$B$7)*Parametrat!$B$9/100,(Parametrat!$B$8-Parametrat!$B$7)*Parametrat!$B$9/100+(M91-Parametrat!$B$8)*Parametrat!$B$10/100))</f>
        <v/>
      </c>
      <c r="O91" s="2">
        <f>=J91-K91-L91-N91</f>
        <v/>
      </c>
      <c r="P91" s="2">
        <f>=MIN(J91,Parametrat!$B$6)*Parametrat!$B$4/100</f>
        <v/>
      </c>
      <c r="Q91" s="2">
        <f>=J91*Parametrat!$B$5/100</f>
        <v/>
      </c>
      <c r="R91" s="2">
        <f>=J91+P91+Q91</f>
        <v/>
      </c>
    </row>
    <row r="92">
      <c r="A92" s="2">
        <f>=IF('Punonjësit'!A92="","",'Punonjësit'!A92)</f>
        <v/>
      </c>
      <c r="B92" s="2">
        <f>=IF(A92="","",'Punonjësit'!B92)</f>
        <v/>
      </c>
      <c r="C92" s="2">
        <f>=IF(A92="","",'Punonjësit'!C92)</f>
        <v/>
      </c>
      <c r="D92" s="3">
        <f>'Orari 31 Ditë'!AH92</f>
        <v/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2">
        <f>=IF(A92="",0,E92+F92+G92*H92+I92)</f>
        <v/>
      </c>
      <c r="K92" s="2">
        <f>=MIN(J92,Parametrat!$B$6)*Parametrat!$B$2/100</f>
        <v/>
      </c>
      <c r="L92" s="2">
        <f>=J92*Parametrat!$B$3/100</f>
        <v/>
      </c>
      <c r="M92" s="2">
        <f>=MAX(0,J92-K92-L92)</f>
        <v/>
      </c>
      <c r="N92" s="2">
        <f>=IF(M92&lt;=Parametrat!$B$7,0,IF(M92&lt;=Parametrat!$B$8,(M92-Parametrat!$B$7)*Parametrat!$B$9/100,(Parametrat!$B$8-Parametrat!$B$7)*Parametrat!$B$9/100+(M92-Parametrat!$B$8)*Parametrat!$B$10/100))</f>
        <v/>
      </c>
      <c r="O92" s="2">
        <f>=J92-K92-L92-N92</f>
        <v/>
      </c>
      <c r="P92" s="2">
        <f>=MIN(J92,Parametrat!$B$6)*Parametrat!$B$4/100</f>
        <v/>
      </c>
      <c r="Q92" s="2">
        <f>=J92*Parametrat!$B$5/100</f>
        <v/>
      </c>
      <c r="R92" s="2">
        <f>=J92+P92+Q92</f>
        <v/>
      </c>
    </row>
    <row r="93">
      <c r="A93" s="2">
        <f>=IF('Punonjësit'!A93="","",'Punonjësit'!A93)</f>
        <v/>
      </c>
      <c r="B93" s="2">
        <f>=IF(A93="","",'Punonjësit'!B93)</f>
        <v/>
      </c>
      <c r="C93" s="2">
        <f>=IF(A93="","",'Punonjësit'!C93)</f>
        <v/>
      </c>
      <c r="D93" s="3">
        <f>'Orari 31 Ditë'!AH93</f>
        <v/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2">
        <f>=IF(A93="",0,E93+F93+G93*H93+I93)</f>
        <v/>
      </c>
      <c r="K93" s="2">
        <f>=MIN(J93,Parametrat!$B$6)*Parametrat!$B$2/100</f>
        <v/>
      </c>
      <c r="L93" s="2">
        <f>=J93*Parametrat!$B$3/100</f>
        <v/>
      </c>
      <c r="M93" s="2">
        <f>=MAX(0,J93-K93-L93)</f>
        <v/>
      </c>
      <c r="N93" s="2">
        <f>=IF(M93&lt;=Parametrat!$B$7,0,IF(M93&lt;=Parametrat!$B$8,(M93-Parametrat!$B$7)*Parametrat!$B$9/100,(Parametrat!$B$8-Parametrat!$B$7)*Parametrat!$B$9/100+(M93-Parametrat!$B$8)*Parametrat!$B$10/100))</f>
        <v/>
      </c>
      <c r="O93" s="2">
        <f>=J93-K93-L93-N93</f>
        <v/>
      </c>
      <c r="P93" s="2">
        <f>=MIN(J93,Parametrat!$B$6)*Parametrat!$B$4/100</f>
        <v/>
      </c>
      <c r="Q93" s="2">
        <f>=J93*Parametrat!$B$5/100</f>
        <v/>
      </c>
      <c r="R93" s="2">
        <f>=J93+P93+Q93</f>
        <v/>
      </c>
    </row>
    <row r="94">
      <c r="A94" s="2">
        <f>=IF('Punonjësit'!A94="","",'Punonjësit'!A94)</f>
        <v/>
      </c>
      <c r="B94" s="2">
        <f>=IF(A94="","",'Punonjësit'!B94)</f>
        <v/>
      </c>
      <c r="C94" s="2">
        <f>=IF(A94="","",'Punonjësit'!C94)</f>
        <v/>
      </c>
      <c r="D94" s="3">
        <f>'Orari 31 Ditë'!AH94</f>
        <v/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2">
        <f>=IF(A94="",0,E94+F94+G94*H94+I94)</f>
        <v/>
      </c>
      <c r="K94" s="2">
        <f>=MIN(J94,Parametrat!$B$6)*Parametrat!$B$2/100</f>
        <v/>
      </c>
      <c r="L94" s="2">
        <f>=J94*Parametrat!$B$3/100</f>
        <v/>
      </c>
      <c r="M94" s="2">
        <f>=MAX(0,J94-K94-L94)</f>
        <v/>
      </c>
      <c r="N94" s="2">
        <f>=IF(M94&lt;=Parametrat!$B$7,0,IF(M94&lt;=Parametrat!$B$8,(M94-Parametrat!$B$7)*Parametrat!$B$9/100,(Parametrat!$B$8-Parametrat!$B$7)*Parametrat!$B$9/100+(M94-Parametrat!$B$8)*Parametrat!$B$10/100))</f>
        <v/>
      </c>
      <c r="O94" s="2">
        <f>=J94-K94-L94-N94</f>
        <v/>
      </c>
      <c r="P94" s="2">
        <f>=MIN(J94,Parametrat!$B$6)*Parametrat!$B$4/100</f>
        <v/>
      </c>
      <c r="Q94" s="2">
        <f>=J94*Parametrat!$B$5/100</f>
        <v/>
      </c>
      <c r="R94" s="2">
        <f>=J94+P94+Q94</f>
        <v/>
      </c>
    </row>
    <row r="95">
      <c r="A95" s="2">
        <f>=IF('Punonjësit'!A95="","",'Punonjësit'!A95)</f>
        <v/>
      </c>
      <c r="B95" s="2">
        <f>=IF(A95="","",'Punonjësit'!B95)</f>
        <v/>
      </c>
      <c r="C95" s="2">
        <f>=IF(A95="","",'Punonjësit'!C95)</f>
        <v/>
      </c>
      <c r="D95" s="3">
        <f>'Orari 31 Ditë'!AH95</f>
        <v/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2">
        <f>=IF(A95="",0,E95+F95+G95*H95+I95)</f>
        <v/>
      </c>
      <c r="K95" s="2">
        <f>=MIN(J95,Parametrat!$B$6)*Parametrat!$B$2/100</f>
        <v/>
      </c>
      <c r="L95" s="2">
        <f>=J95*Parametrat!$B$3/100</f>
        <v/>
      </c>
      <c r="M95" s="2">
        <f>=MAX(0,J95-K95-L95)</f>
        <v/>
      </c>
      <c r="N95" s="2">
        <f>=IF(M95&lt;=Parametrat!$B$7,0,IF(M95&lt;=Parametrat!$B$8,(M95-Parametrat!$B$7)*Parametrat!$B$9/100,(Parametrat!$B$8-Parametrat!$B$7)*Parametrat!$B$9/100+(M95-Parametrat!$B$8)*Parametrat!$B$10/100))</f>
        <v/>
      </c>
      <c r="O95" s="2">
        <f>=J95-K95-L95-N95</f>
        <v/>
      </c>
      <c r="P95" s="2">
        <f>=MIN(J95,Parametrat!$B$6)*Parametrat!$B$4/100</f>
        <v/>
      </c>
      <c r="Q95" s="2">
        <f>=J95*Parametrat!$B$5/100</f>
        <v/>
      </c>
      <c r="R95" s="2">
        <f>=J95+P95+Q95</f>
        <v/>
      </c>
    </row>
    <row r="96">
      <c r="A96" s="2">
        <f>=IF('Punonjësit'!A96="","",'Punonjësit'!A96)</f>
        <v/>
      </c>
      <c r="B96" s="2">
        <f>=IF(A96="","",'Punonjësit'!B96)</f>
        <v/>
      </c>
      <c r="C96" s="2">
        <f>=IF(A96="","",'Punonjësit'!C96)</f>
        <v/>
      </c>
      <c r="D96" s="3">
        <f>'Orari 31 Ditë'!AH96</f>
        <v/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2">
        <f>=IF(A96="",0,E96+F96+G96*H96+I96)</f>
        <v/>
      </c>
      <c r="K96" s="2">
        <f>=MIN(J96,Parametrat!$B$6)*Parametrat!$B$2/100</f>
        <v/>
      </c>
      <c r="L96" s="2">
        <f>=J96*Parametrat!$B$3/100</f>
        <v/>
      </c>
      <c r="M96" s="2">
        <f>=MAX(0,J96-K96-L96)</f>
        <v/>
      </c>
      <c r="N96" s="2">
        <f>=IF(M96&lt;=Parametrat!$B$7,0,IF(M96&lt;=Parametrat!$B$8,(M96-Parametrat!$B$7)*Parametrat!$B$9/100,(Parametrat!$B$8-Parametrat!$B$7)*Parametrat!$B$9/100+(M96-Parametrat!$B$8)*Parametrat!$B$10/100))</f>
        <v/>
      </c>
      <c r="O96" s="2">
        <f>=J96-K96-L96-N96</f>
        <v/>
      </c>
      <c r="P96" s="2">
        <f>=MIN(J96,Parametrat!$B$6)*Parametrat!$B$4/100</f>
        <v/>
      </c>
      <c r="Q96" s="2">
        <f>=J96*Parametrat!$B$5/100</f>
        <v/>
      </c>
      <c r="R96" s="2">
        <f>=J96+P96+Q96</f>
        <v/>
      </c>
    </row>
    <row r="97">
      <c r="A97" s="2">
        <f>=IF('Punonjësit'!A97="","",'Punonjësit'!A97)</f>
        <v/>
      </c>
      <c r="B97" s="2">
        <f>=IF(A97="","",'Punonjësit'!B97)</f>
        <v/>
      </c>
      <c r="C97" s="2">
        <f>=IF(A97="","",'Punonjësit'!C97)</f>
        <v/>
      </c>
      <c r="D97" s="3">
        <f>'Orari 31 Ditë'!AH97</f>
        <v/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2">
        <f>=IF(A97="",0,E97+F97+G97*H97+I97)</f>
        <v/>
      </c>
      <c r="K97" s="2">
        <f>=MIN(J97,Parametrat!$B$6)*Parametrat!$B$2/100</f>
        <v/>
      </c>
      <c r="L97" s="2">
        <f>=J97*Parametrat!$B$3/100</f>
        <v/>
      </c>
      <c r="M97" s="2">
        <f>=MAX(0,J97-K97-L97)</f>
        <v/>
      </c>
      <c r="N97" s="2">
        <f>=IF(M97&lt;=Parametrat!$B$7,0,IF(M97&lt;=Parametrat!$B$8,(M97-Parametrat!$B$7)*Parametrat!$B$9/100,(Parametrat!$B$8-Parametrat!$B$7)*Parametrat!$B$9/100+(M97-Parametrat!$B$8)*Parametrat!$B$10/100))</f>
        <v/>
      </c>
      <c r="O97" s="2">
        <f>=J97-K97-L97-N97</f>
        <v/>
      </c>
      <c r="P97" s="2">
        <f>=MIN(J97,Parametrat!$B$6)*Parametrat!$B$4/100</f>
        <v/>
      </c>
      <c r="Q97" s="2">
        <f>=J97*Parametrat!$B$5/100</f>
        <v/>
      </c>
      <c r="R97" s="2">
        <f>=J97+P97+Q97</f>
        <v/>
      </c>
    </row>
    <row r="98">
      <c r="A98" s="2">
        <f>=IF('Punonjësit'!A98="","",'Punonjësit'!A98)</f>
        <v/>
      </c>
      <c r="B98" s="2">
        <f>=IF(A98="","",'Punonjësit'!B98)</f>
        <v/>
      </c>
      <c r="C98" s="2">
        <f>=IF(A98="","",'Punonjësit'!C98)</f>
        <v/>
      </c>
      <c r="D98" s="3">
        <f>'Orari 31 Ditë'!AH98</f>
        <v/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2">
        <f>=IF(A98="",0,E98+F98+G98*H98+I98)</f>
        <v/>
      </c>
      <c r="K98" s="2">
        <f>=MIN(J98,Parametrat!$B$6)*Parametrat!$B$2/100</f>
        <v/>
      </c>
      <c r="L98" s="2">
        <f>=J98*Parametrat!$B$3/100</f>
        <v/>
      </c>
      <c r="M98" s="2">
        <f>=MAX(0,J98-K98-L98)</f>
        <v/>
      </c>
      <c r="N98" s="2">
        <f>=IF(M98&lt;=Parametrat!$B$7,0,IF(M98&lt;=Parametrat!$B$8,(M98-Parametrat!$B$7)*Parametrat!$B$9/100,(Parametrat!$B$8-Parametrat!$B$7)*Parametrat!$B$9/100+(M98-Parametrat!$B$8)*Parametrat!$B$10/100))</f>
        <v/>
      </c>
      <c r="O98" s="2">
        <f>=J98-K98-L98-N98</f>
        <v/>
      </c>
      <c r="P98" s="2">
        <f>=MIN(J98,Parametrat!$B$6)*Parametrat!$B$4/100</f>
        <v/>
      </c>
      <c r="Q98" s="2">
        <f>=J98*Parametrat!$B$5/100</f>
        <v/>
      </c>
      <c r="R98" s="2">
        <f>=J98+P98+Q98</f>
        <v/>
      </c>
    </row>
    <row r="99">
      <c r="A99" s="2">
        <f>=IF('Punonjësit'!A99="","",'Punonjësit'!A99)</f>
        <v/>
      </c>
      <c r="B99" s="2">
        <f>=IF(A99="","",'Punonjësit'!B99)</f>
        <v/>
      </c>
      <c r="C99" s="2">
        <f>=IF(A99="","",'Punonjësit'!C99)</f>
        <v/>
      </c>
      <c r="D99" s="3">
        <f>'Orari 31 Ditë'!AH99</f>
        <v/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2">
        <f>=IF(A99="",0,E99+F99+G99*H99+I99)</f>
        <v/>
      </c>
      <c r="K99" s="2">
        <f>=MIN(J99,Parametrat!$B$6)*Parametrat!$B$2/100</f>
        <v/>
      </c>
      <c r="L99" s="2">
        <f>=J99*Parametrat!$B$3/100</f>
        <v/>
      </c>
      <c r="M99" s="2">
        <f>=MAX(0,J99-K99-L99)</f>
        <v/>
      </c>
      <c r="N99" s="2">
        <f>=IF(M99&lt;=Parametrat!$B$7,0,IF(M99&lt;=Parametrat!$B$8,(M99-Parametrat!$B$7)*Parametrat!$B$9/100,(Parametrat!$B$8-Parametrat!$B$7)*Parametrat!$B$9/100+(M99-Parametrat!$B$8)*Parametrat!$B$10/100))</f>
        <v/>
      </c>
      <c r="O99" s="2">
        <f>=J99-K99-L99-N99</f>
        <v/>
      </c>
      <c r="P99" s="2">
        <f>=MIN(J99,Parametrat!$B$6)*Parametrat!$B$4/100</f>
        <v/>
      </c>
      <c r="Q99" s="2">
        <f>=J99*Parametrat!$B$5/100</f>
        <v/>
      </c>
      <c r="R99" s="2">
        <f>=J99+P99+Q99</f>
        <v/>
      </c>
    </row>
    <row r="100">
      <c r="A100" s="2">
        <f>=IF('Punonjësit'!A100="","",'Punonjësit'!A100)</f>
        <v/>
      </c>
      <c r="B100" s="2">
        <f>=IF(A100="","",'Punonjësit'!B100)</f>
        <v/>
      </c>
      <c r="C100" s="2">
        <f>=IF(A100="","",'Punonjësit'!C100)</f>
        <v/>
      </c>
      <c r="D100" s="3">
        <f>'Orari 31 Ditë'!AH100</f>
        <v/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2">
        <f>=IF(A100="",0,E100+F100+G100*H100+I100)</f>
        <v/>
      </c>
      <c r="K100" s="2">
        <f>=MIN(J100,Parametrat!$B$6)*Parametrat!$B$2/100</f>
        <v/>
      </c>
      <c r="L100" s="2">
        <f>=J100*Parametrat!$B$3/100</f>
        <v/>
      </c>
      <c r="M100" s="2">
        <f>=MAX(0,J100-K100-L100)</f>
        <v/>
      </c>
      <c r="N100" s="2">
        <f>=IF(M100&lt;=Parametrat!$B$7,0,IF(M100&lt;=Parametrat!$B$8,(M100-Parametrat!$B$7)*Parametrat!$B$9/100,(Parametrat!$B$8-Parametrat!$B$7)*Parametrat!$B$9/100+(M100-Parametrat!$B$8)*Parametrat!$B$10/100))</f>
        <v/>
      </c>
      <c r="O100" s="2">
        <f>=J100-K100-L100-N100</f>
        <v/>
      </c>
      <c r="P100" s="2">
        <f>=MIN(J100,Parametrat!$B$6)*Parametrat!$B$4/100</f>
        <v/>
      </c>
      <c r="Q100" s="2">
        <f>=J100*Parametrat!$B$5/100</f>
        <v/>
      </c>
      <c r="R100" s="2">
        <f>=J100+P100+Q100</f>
        <v/>
      </c>
    </row>
    <row r="101">
      <c r="A101" s="2">
        <f>=IF('Punonjësit'!A101="","",'Punonjësit'!A101)</f>
        <v/>
      </c>
      <c r="B101" s="2">
        <f>=IF(A101="","",'Punonjësit'!B101)</f>
        <v/>
      </c>
      <c r="C101" s="2">
        <f>=IF(A101="","",'Punonjësit'!C101)</f>
        <v/>
      </c>
      <c r="D101" s="3">
        <f>'Orari 31 Ditë'!AH101</f>
        <v/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2">
        <f>=IF(A101="",0,E101+F101+G101*H101+I101)</f>
        <v/>
      </c>
      <c r="K101" s="2">
        <f>=MIN(J101,Parametrat!$B$6)*Parametrat!$B$2/100</f>
        <v/>
      </c>
      <c r="L101" s="2">
        <f>=J101*Parametrat!$B$3/100</f>
        <v/>
      </c>
      <c r="M101" s="2">
        <f>=MAX(0,J101-K101-L101)</f>
        <v/>
      </c>
      <c r="N101" s="2">
        <f>=IF(M101&lt;=Parametrat!$B$7,0,IF(M101&lt;=Parametrat!$B$8,(M101-Parametrat!$B$7)*Parametrat!$B$9/100,(Parametrat!$B$8-Parametrat!$B$7)*Parametrat!$B$9/100+(M101-Parametrat!$B$8)*Parametrat!$B$10/100))</f>
        <v/>
      </c>
      <c r="O101" s="2">
        <f>=J101-K101-L101-N101</f>
        <v/>
      </c>
      <c r="P101" s="2">
        <f>=MIN(J101,Parametrat!$B$6)*Parametrat!$B$4/100</f>
        <v/>
      </c>
      <c r="Q101" s="2">
        <f>=J101*Parametrat!$B$5/100</f>
        <v/>
      </c>
      <c r="R101" s="2">
        <f>=J101+P101+Q101</f>
        <v/>
      </c>
    </row>
  </sheetData>
  <pageMargins left="0.3" right="0.3" top="0.5" bottom="0.5" header="0.2" footer="0.2"/>
</worksheet>
</file>

<file path=xl/worksheets/sheet4.xml><?xml version="1.0" encoding="utf-8"?>
<worksheet xmlns="http://schemas.openxmlformats.org/spreadsheetml/2006/main">
  <dimension ref="A1:A10"/>
  <sheetViews>
    <sheetView workbookViewId="0"/>
  </sheetViews>
  <cols>
    <col min="1" max="1" width="110" customWidth="1"/>
  </cols>
  <sheetData>
    <row r="1">
      <c r="A1" s="1" t="inlineStr">
        <is>
          <t>Udhëzime</t>
        </is>
      </c>
    </row>
    <row r="2">
      <c r="A2" t="inlineStr">
        <is>
          <t>SISTEMI GENIT — LISTA E PAGAVE</t>
        </is>
      </c>
    </row>
    <row r="3">
      <c r="A3" t="inlineStr">
        <is>
          <t>Si përdoret:</t>
        </is>
      </c>
    </row>
    <row r="4">
      <c r="A4" t="inlineStr">
        <is>
          <t>1. Te fleta Punonjësit plotëso emrin, numrin personal, pozicionin dhe IBAN-in.</t>
        </is>
      </c>
    </row>
    <row r="5">
      <c r="A5" t="inlineStr">
        <is>
          <t>2. Te fleta Lista e Pagave vendos pagën bazë, shtesat, orët shtesë dhe shpërblimet.</t>
        </is>
      </c>
    </row>
    <row r="6">
      <c r="A6" t="inlineStr">
        <is>
          <t>3. Llogaritjet Bruto, kontributet, TAP, Neto dhe Kosto totale plotësohen automatikisht.</t>
        </is>
      </c>
    </row>
    <row r="7">
      <c r="A7" t="inlineStr">
        <is>
          <t>4. Te fleta Parametrat ndrysho normat dhe kufijtë sipas legjislacionit në fuqi.</t>
        </is>
      </c>
    </row>
    <row r="8">
      <c r="A8" t="inlineStr">
        <is>
          <t>5. Para deklarimit zyrtar, kontrollo normat me kontabilistin.</t>
        </is>
      </c>
    </row>
    <row r="9">
      <c r="A9" t="inlineStr">
        <is>
          <t/>
        </is>
      </c>
    </row>
    <row r="10">
      <c r="A10" t="inlineStr">
        <is>
          <t>Fletët: Punonjësit | Lista e Pagave | Parametrat</t>
        </is>
      </c>
    </row>
  </sheetData>
  <pageMargins left="0.3" right="0.3" top="0.5" bottom="0.5" header="0.2" footer="0.2"/>
</worksheet>
</file>

<file path=xl/worksheets/sheet5.xml><?xml version="1.0" encoding="utf-8"?>
<worksheet xmlns="http://schemas.openxmlformats.org/spreadsheetml/2006/main">
  <dimension ref="A1:AH101"/>
  <sheetViews>
    <sheetView workbookViewId="0"/>
  </sheetViews>
  <cols>
    <col min="1" max="1" width="28" customWidth="1"/>
    <col min="2" max="2" width="8" customWidth="1"/>
    <col min="3" max="3" width="8" customWidth="1"/>
    <col min="4" max="4" width="8" customWidth="1"/>
    <col min="5" max="5" width="8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  <col min="19" max="19" width="8" customWidth="1"/>
    <col min="20" max="20" width="8" customWidth="1"/>
    <col min="21" max="21" width="8" customWidth="1"/>
    <col min="22" max="22" width="8" customWidth="1"/>
    <col min="23" max="23" width="8" customWidth="1"/>
    <col min="24" max="24" width="8" customWidth="1"/>
    <col min="25" max="25" width="8" customWidth="1"/>
    <col min="26" max="26" width="8" customWidth="1"/>
    <col min="27" max="27" width="8" customWidth="1"/>
    <col min="28" max="28" width="8" customWidth="1"/>
    <col min="29" max="29" width="8" customWidth="1"/>
    <col min="30" max="30" width="8" customWidth="1"/>
    <col min="31" max="31" width="8" customWidth="1"/>
    <col min="32" max="32" width="8" customWidth="1"/>
    <col min="33" max="33" width="14" customWidth="1"/>
    <col min="34" max="34" width="14" customWidth="1"/>
  </cols>
  <sheetData>
    <row r="1">
      <c r="A1" s="1" t="inlineStr">
        <is>
          <t>Emri i plotë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  <c r="L1" s="1" t="inlineStr">
        <is>
          <t>11</t>
        </is>
      </c>
      <c r="M1" s="1" t="inlineStr">
        <is>
          <t>12</t>
        </is>
      </c>
      <c r="N1" s="1" t="inlineStr">
        <is>
          <t>13</t>
        </is>
      </c>
      <c r="O1" s="1" t="inlineStr">
        <is>
          <t>14</t>
        </is>
      </c>
      <c r="P1" s="1" t="inlineStr">
        <is>
          <t>15</t>
        </is>
      </c>
      <c r="Q1" s="1" t="inlineStr">
        <is>
          <t>16</t>
        </is>
      </c>
      <c r="R1" s="1" t="inlineStr">
        <is>
          <t>17</t>
        </is>
      </c>
      <c r="S1" s="1" t="inlineStr">
        <is>
          <t>18</t>
        </is>
      </c>
      <c r="T1" s="1" t="inlineStr">
        <is>
          <t>19</t>
        </is>
      </c>
      <c r="U1" s="1" t="inlineStr">
        <is>
          <t>20</t>
        </is>
      </c>
      <c r="V1" s="1" t="inlineStr">
        <is>
          <t>21</t>
        </is>
      </c>
      <c r="W1" s="1" t="inlineStr">
        <is>
          <t>22</t>
        </is>
      </c>
      <c r="X1" s="1" t="inlineStr">
        <is>
          <t>23</t>
        </is>
      </c>
      <c r="Y1" s="1" t="inlineStr">
        <is>
          <t>24</t>
        </is>
      </c>
      <c r="Z1" s="1" t="inlineStr">
        <is>
          <t>25</t>
        </is>
      </c>
      <c r="[1" s="1" t="inlineStr">
        <is>
          <t>26</t>
        </is>
      </c>
      <c r="\1" s="1" t="inlineStr">
        <is>
          <t>27</t>
        </is>
      </c>
      <c r="]1" s="1" t="inlineStr">
        <is>
          <t>28</t>
        </is>
      </c>
      <c r="^1" s="1" t="inlineStr">
        <is>
          <t>29</t>
        </is>
      </c>
      <c r="_1" s="1" t="inlineStr">
        <is>
          <t>30</t>
        </is>
      </c>
      <c r="`1" s="1" t="inlineStr">
        <is>
          <t>31</t>
        </is>
      </c>
      <c r="a1" s="1" t="inlineStr">
        <is>
          <t>Total orë</t>
        </is>
      </c>
      <c r="b1" s="1" t="inlineStr">
        <is>
          <t>Ditë pune</t>
        </is>
      </c>
    </row>
    <row r="2">
      <c r="A2" t="inlineStr">
        <is>
          <t>=IF('Punonjësit'!A2="","",'Punonjësit'!A2)</t>
        </is>
      </c>
      <c r="B2" s="3" t="inlineStr">
        <is>
          <t/>
        </is>
      </c>
      <c r="C2" s="3" t="inlineStr">
        <is>
          <t/>
        </is>
      </c>
      <c r="D2" s="3" t="inlineStr">
        <is>
          <t/>
        </is>
      </c>
      <c r="E2" s="3" t="inlineStr">
        <is>
          <t/>
        </is>
      </c>
      <c r="F2" s="3" t="inlineStr">
        <is>
          <t/>
        </is>
      </c>
      <c r="G2" s="3" t="inlineStr">
        <is>
          <t/>
        </is>
      </c>
      <c r="H2" s="3" t="inlineStr">
        <is>
          <t/>
        </is>
      </c>
      <c r="I2" s="3" t="inlineStr">
        <is>
          <t/>
        </is>
      </c>
      <c r="J2" s="3" t="inlineStr">
        <is>
          <t/>
        </is>
      </c>
      <c r="K2" s="3" t="inlineStr">
        <is>
          <t/>
        </is>
      </c>
      <c r="L2" s="3" t="inlineStr">
        <is>
          <t/>
        </is>
      </c>
      <c r="M2" s="3" t="inlineStr">
        <is>
          <t/>
        </is>
      </c>
      <c r="N2" s="3" t="inlineStr">
        <is>
          <t/>
        </is>
      </c>
      <c r="O2" s="3" t="inlineStr">
        <is>
          <t/>
        </is>
      </c>
      <c r="P2" s="3" t="inlineStr">
        <is>
          <t/>
        </is>
      </c>
      <c r="Q2" s="3" t="inlineStr">
        <is>
          <t/>
        </is>
      </c>
      <c r="R2" s="3" t="inlineStr">
        <is>
          <t/>
        </is>
      </c>
      <c r="S2" s="3" t="inlineStr">
        <is>
          <t/>
        </is>
      </c>
      <c r="T2" s="3" t="inlineStr">
        <is>
          <t/>
        </is>
      </c>
      <c r="U2" s="3" t="inlineStr">
        <is>
          <t/>
        </is>
      </c>
      <c r="V2" s="3" t="inlineStr">
        <is>
          <t/>
        </is>
      </c>
      <c r="W2" s="3" t="inlineStr">
        <is>
          <t/>
        </is>
      </c>
      <c r="X2" s="3" t="inlineStr">
        <is>
          <t/>
        </is>
      </c>
      <c r="Y2" s="3" t="inlineStr">
        <is>
          <t/>
        </is>
      </c>
      <c r="Z2" s="3" t="inlineStr">
        <is>
          <t/>
        </is>
      </c>
      <c r="[2" s="3" t="inlineStr">
        <is>
          <t/>
        </is>
      </c>
      <c r="\2" s="3" t="inlineStr">
        <is>
          <t/>
        </is>
      </c>
      <c r="]2" s="3" t="inlineStr">
        <is>
          <t/>
        </is>
      </c>
      <c r="^2" s="3" t="inlineStr">
        <is>
          <t/>
        </is>
      </c>
      <c r="_2" s="3" t="inlineStr">
        <is>
          <t/>
        </is>
      </c>
      <c r="`2" s="3" t="inlineStr">
        <is>
          <t/>
        </is>
      </c>
      <c r="AG2" s="3" t="inlineStr">
        <is>
          <t>=SUM(B2:AF2)</t>
        </is>
      </c>
      <c r="AH2" s="3" t="inlineStr">
        <is>
          <t>=AG2/8</t>
        </is>
      </c>
    </row>
    <row r="3">
      <c r="A3" t="inlineStr">
        <is>
          <t>=IF('Punonjësit'!A3="","",'Punonjësit'!A3)</t>
        </is>
      </c>
      <c r="B3" s="3" t="inlineStr">
        <is>
          <t/>
        </is>
      </c>
      <c r="C3" s="3" t="inlineStr">
        <is>
          <t/>
        </is>
      </c>
      <c r="D3" s="3" t="inlineStr">
        <is>
          <t/>
        </is>
      </c>
      <c r="E3" s="3" t="inlineStr">
        <is>
          <t/>
        </is>
      </c>
      <c r="F3" s="3" t="inlineStr">
        <is>
          <t/>
        </is>
      </c>
      <c r="G3" s="3" t="inlineStr">
        <is>
          <t/>
        </is>
      </c>
      <c r="H3" s="3" t="inlineStr">
        <is>
          <t/>
        </is>
      </c>
      <c r="I3" s="3" t="inlineStr">
        <is>
          <t/>
        </is>
      </c>
      <c r="J3" s="3" t="inlineStr">
        <is>
          <t/>
        </is>
      </c>
      <c r="K3" s="3" t="inlineStr">
        <is>
          <t/>
        </is>
      </c>
      <c r="L3" s="3" t="inlineStr">
        <is>
          <t/>
        </is>
      </c>
      <c r="M3" s="3" t="inlineStr">
        <is>
          <t/>
        </is>
      </c>
      <c r="N3" s="3" t="inlineStr">
        <is>
          <t/>
        </is>
      </c>
      <c r="O3" s="3" t="inlineStr">
        <is>
          <t/>
        </is>
      </c>
      <c r="P3" s="3" t="inlineStr">
        <is>
          <t/>
        </is>
      </c>
      <c r="Q3" s="3" t="inlineStr">
        <is>
          <t/>
        </is>
      </c>
      <c r="R3" s="3" t="inlineStr">
        <is>
          <t/>
        </is>
      </c>
      <c r="S3" s="3" t="inlineStr">
        <is>
          <t/>
        </is>
      </c>
      <c r="T3" s="3" t="inlineStr">
        <is>
          <t/>
        </is>
      </c>
      <c r="U3" s="3" t="inlineStr">
        <is>
          <t/>
        </is>
      </c>
      <c r="V3" s="3" t="inlineStr">
        <is>
          <t/>
        </is>
      </c>
      <c r="W3" s="3" t="inlineStr">
        <is>
          <t/>
        </is>
      </c>
      <c r="X3" s="3" t="inlineStr">
        <is>
          <t/>
        </is>
      </c>
      <c r="Y3" s="3" t="inlineStr">
        <is>
          <t/>
        </is>
      </c>
      <c r="Z3" s="3" t="inlineStr">
        <is>
          <t/>
        </is>
      </c>
      <c r="[3" s="3" t="inlineStr">
        <is>
          <t/>
        </is>
      </c>
      <c r="\3" s="3" t="inlineStr">
        <is>
          <t/>
        </is>
      </c>
      <c r="]3" s="3" t="inlineStr">
        <is>
          <t/>
        </is>
      </c>
      <c r="^3" s="3" t="inlineStr">
        <is>
          <t/>
        </is>
      </c>
      <c r="_3" s="3" t="inlineStr">
        <is>
          <t/>
        </is>
      </c>
      <c r="`3" s="3" t="inlineStr">
        <is>
          <t/>
        </is>
      </c>
      <c r="AG3" s="3" t="inlineStr">
        <is>
          <t>=SUM(B3:AF3)</t>
        </is>
      </c>
      <c r="AH3" s="3" t="inlineStr">
        <is>
          <t>=AG3/8</t>
        </is>
      </c>
    </row>
    <row r="4">
      <c r="A4" t="inlineStr">
        <is>
          <t>=IF('Punonjësit'!A4="","",'Punonjësit'!A4)</t>
        </is>
      </c>
      <c r="B4" s="3" t="inlineStr">
        <is>
          <t/>
        </is>
      </c>
      <c r="C4" s="3" t="inlineStr">
        <is>
          <t/>
        </is>
      </c>
      <c r="D4" s="3" t="inlineStr">
        <is>
          <t/>
        </is>
      </c>
      <c r="E4" s="3" t="inlineStr">
        <is>
          <t/>
        </is>
      </c>
      <c r="F4" s="3" t="inlineStr">
        <is>
          <t/>
        </is>
      </c>
      <c r="G4" s="3" t="inlineStr">
        <is>
          <t/>
        </is>
      </c>
      <c r="H4" s="3" t="inlineStr">
        <is>
          <t/>
        </is>
      </c>
      <c r="I4" s="3" t="inlineStr">
        <is>
          <t/>
        </is>
      </c>
      <c r="J4" s="3" t="inlineStr">
        <is>
          <t/>
        </is>
      </c>
      <c r="K4" s="3" t="inlineStr">
        <is>
          <t/>
        </is>
      </c>
      <c r="L4" s="3" t="inlineStr">
        <is>
          <t/>
        </is>
      </c>
      <c r="M4" s="3" t="inlineStr">
        <is>
          <t/>
        </is>
      </c>
      <c r="N4" s="3" t="inlineStr">
        <is>
          <t/>
        </is>
      </c>
      <c r="O4" s="3" t="inlineStr">
        <is>
          <t/>
        </is>
      </c>
      <c r="P4" s="3" t="inlineStr">
        <is>
          <t/>
        </is>
      </c>
      <c r="Q4" s="3" t="inlineStr">
        <is>
          <t/>
        </is>
      </c>
      <c r="R4" s="3" t="inlineStr">
        <is>
          <t/>
        </is>
      </c>
      <c r="S4" s="3" t="inlineStr">
        <is>
          <t/>
        </is>
      </c>
      <c r="T4" s="3" t="inlineStr">
        <is>
          <t/>
        </is>
      </c>
      <c r="U4" s="3" t="inlineStr">
        <is>
          <t/>
        </is>
      </c>
      <c r="V4" s="3" t="inlineStr">
        <is>
          <t/>
        </is>
      </c>
      <c r="W4" s="3" t="inlineStr">
        <is>
          <t/>
        </is>
      </c>
      <c r="X4" s="3" t="inlineStr">
        <is>
          <t/>
        </is>
      </c>
      <c r="Y4" s="3" t="inlineStr">
        <is>
          <t/>
        </is>
      </c>
      <c r="Z4" s="3" t="inlineStr">
        <is>
          <t/>
        </is>
      </c>
      <c r="[4" s="3" t="inlineStr">
        <is>
          <t/>
        </is>
      </c>
      <c r="\4" s="3" t="inlineStr">
        <is>
          <t/>
        </is>
      </c>
      <c r="]4" s="3" t="inlineStr">
        <is>
          <t/>
        </is>
      </c>
      <c r="^4" s="3" t="inlineStr">
        <is>
          <t/>
        </is>
      </c>
      <c r="_4" s="3" t="inlineStr">
        <is>
          <t/>
        </is>
      </c>
      <c r="`4" s="3" t="inlineStr">
        <is>
          <t/>
        </is>
      </c>
      <c r="AG4" s="3" t="inlineStr">
        <is>
          <t>=SUM(B4:AF4)</t>
        </is>
      </c>
      <c r="AH4" s="3" t="inlineStr">
        <is>
          <t>=AG4/8</t>
        </is>
      </c>
    </row>
    <row r="5">
      <c r="A5" t="inlineStr">
        <is>
          <t>=IF('Punonjësit'!A5="","",'Punonjësit'!A5)</t>
        </is>
      </c>
      <c r="B5" s="3" t="inlineStr">
        <is>
          <t/>
        </is>
      </c>
      <c r="C5" s="3" t="inlineStr">
        <is>
          <t/>
        </is>
      </c>
      <c r="D5" s="3" t="inlineStr">
        <is>
          <t/>
        </is>
      </c>
      <c r="E5" s="3" t="inlineStr">
        <is>
          <t/>
        </is>
      </c>
      <c r="F5" s="3" t="inlineStr">
        <is>
          <t/>
        </is>
      </c>
      <c r="G5" s="3" t="inlineStr">
        <is>
          <t/>
        </is>
      </c>
      <c r="H5" s="3" t="inlineStr">
        <is>
          <t/>
        </is>
      </c>
      <c r="I5" s="3" t="inlineStr">
        <is>
          <t/>
        </is>
      </c>
      <c r="J5" s="3" t="inlineStr">
        <is>
          <t/>
        </is>
      </c>
      <c r="K5" s="3" t="inlineStr">
        <is>
          <t/>
        </is>
      </c>
      <c r="L5" s="3" t="inlineStr">
        <is>
          <t/>
        </is>
      </c>
      <c r="M5" s="3" t="inlineStr">
        <is>
          <t/>
        </is>
      </c>
      <c r="N5" s="3" t="inlineStr">
        <is>
          <t/>
        </is>
      </c>
      <c r="O5" s="3" t="inlineStr">
        <is>
          <t/>
        </is>
      </c>
      <c r="P5" s="3" t="inlineStr">
        <is>
          <t/>
        </is>
      </c>
      <c r="Q5" s="3" t="inlineStr">
        <is>
          <t/>
        </is>
      </c>
      <c r="R5" s="3" t="inlineStr">
        <is>
          <t/>
        </is>
      </c>
      <c r="S5" s="3" t="inlineStr">
        <is>
          <t/>
        </is>
      </c>
      <c r="T5" s="3" t="inlineStr">
        <is>
          <t/>
        </is>
      </c>
      <c r="U5" s="3" t="inlineStr">
        <is>
          <t/>
        </is>
      </c>
      <c r="V5" s="3" t="inlineStr">
        <is>
          <t/>
        </is>
      </c>
      <c r="W5" s="3" t="inlineStr">
        <is>
          <t/>
        </is>
      </c>
      <c r="X5" s="3" t="inlineStr">
        <is>
          <t/>
        </is>
      </c>
      <c r="Y5" s="3" t="inlineStr">
        <is>
          <t/>
        </is>
      </c>
      <c r="Z5" s="3" t="inlineStr">
        <is>
          <t/>
        </is>
      </c>
      <c r="[5" s="3" t="inlineStr">
        <is>
          <t/>
        </is>
      </c>
      <c r="\5" s="3" t="inlineStr">
        <is>
          <t/>
        </is>
      </c>
      <c r="]5" s="3" t="inlineStr">
        <is>
          <t/>
        </is>
      </c>
      <c r="^5" s="3" t="inlineStr">
        <is>
          <t/>
        </is>
      </c>
      <c r="_5" s="3" t="inlineStr">
        <is>
          <t/>
        </is>
      </c>
      <c r="`5" s="3" t="inlineStr">
        <is>
          <t/>
        </is>
      </c>
      <c r="AG5" s="3" t="inlineStr">
        <is>
          <t>=SUM(B5:AF5)</t>
        </is>
      </c>
      <c r="AH5" s="3" t="inlineStr">
        <is>
          <t>=AG5/8</t>
        </is>
      </c>
    </row>
    <row r="6">
      <c r="A6" t="inlineStr">
        <is>
          <t>=IF('Punonjësit'!A6="","",'Punonjësit'!A6)</t>
        </is>
      </c>
      <c r="B6" s="3" t="inlineStr">
        <is>
          <t/>
        </is>
      </c>
      <c r="C6" s="3" t="inlineStr">
        <is>
          <t/>
        </is>
      </c>
      <c r="D6" s="3" t="inlineStr">
        <is>
          <t/>
        </is>
      </c>
      <c r="E6" s="3" t="inlineStr">
        <is>
          <t/>
        </is>
      </c>
      <c r="F6" s="3" t="inlineStr">
        <is>
          <t/>
        </is>
      </c>
      <c r="G6" s="3" t="inlineStr">
        <is>
          <t/>
        </is>
      </c>
      <c r="H6" s="3" t="inlineStr">
        <is>
          <t/>
        </is>
      </c>
      <c r="I6" s="3" t="inlineStr">
        <is>
          <t/>
        </is>
      </c>
      <c r="J6" s="3" t="inlineStr">
        <is>
          <t/>
        </is>
      </c>
      <c r="K6" s="3" t="inlineStr">
        <is>
          <t/>
        </is>
      </c>
      <c r="L6" s="3" t="inlineStr">
        <is>
          <t/>
        </is>
      </c>
      <c r="M6" s="3" t="inlineStr">
        <is>
          <t/>
        </is>
      </c>
      <c r="N6" s="3" t="inlineStr">
        <is>
          <t/>
        </is>
      </c>
      <c r="O6" s="3" t="inlineStr">
        <is>
          <t/>
        </is>
      </c>
      <c r="P6" s="3" t="inlineStr">
        <is>
          <t/>
        </is>
      </c>
      <c r="Q6" s="3" t="inlineStr">
        <is>
          <t/>
        </is>
      </c>
      <c r="R6" s="3" t="inlineStr">
        <is>
          <t/>
        </is>
      </c>
      <c r="S6" s="3" t="inlineStr">
        <is>
          <t/>
        </is>
      </c>
      <c r="T6" s="3" t="inlineStr">
        <is>
          <t/>
        </is>
      </c>
      <c r="U6" s="3" t="inlineStr">
        <is>
          <t/>
        </is>
      </c>
      <c r="V6" s="3" t="inlineStr">
        <is>
          <t/>
        </is>
      </c>
      <c r="W6" s="3" t="inlineStr">
        <is>
          <t/>
        </is>
      </c>
      <c r="X6" s="3" t="inlineStr">
        <is>
          <t/>
        </is>
      </c>
      <c r="Y6" s="3" t="inlineStr">
        <is>
          <t/>
        </is>
      </c>
      <c r="Z6" s="3" t="inlineStr">
        <is>
          <t/>
        </is>
      </c>
      <c r="[6" s="3" t="inlineStr">
        <is>
          <t/>
        </is>
      </c>
      <c r="\6" s="3" t="inlineStr">
        <is>
          <t/>
        </is>
      </c>
      <c r="]6" s="3" t="inlineStr">
        <is>
          <t/>
        </is>
      </c>
      <c r="^6" s="3" t="inlineStr">
        <is>
          <t/>
        </is>
      </c>
      <c r="_6" s="3" t="inlineStr">
        <is>
          <t/>
        </is>
      </c>
      <c r="`6" s="3" t="inlineStr">
        <is>
          <t/>
        </is>
      </c>
      <c r="AG6" s="3" t="inlineStr">
        <is>
          <t>=SUM(B6:AF6)</t>
        </is>
      </c>
      <c r="AH6" s="3" t="inlineStr">
        <is>
          <t>=AG6/8</t>
        </is>
      </c>
    </row>
    <row r="7">
      <c r="A7" t="inlineStr">
        <is>
          <t>=IF('Punonjësit'!A7="","",'Punonjësit'!A7)</t>
        </is>
      </c>
      <c r="B7" s="3" t="inlineStr">
        <is>
          <t/>
        </is>
      </c>
      <c r="C7" s="3" t="inlineStr">
        <is>
          <t/>
        </is>
      </c>
      <c r="D7" s="3" t="inlineStr">
        <is>
          <t/>
        </is>
      </c>
      <c r="E7" s="3" t="inlineStr">
        <is>
          <t/>
        </is>
      </c>
      <c r="F7" s="3" t="inlineStr">
        <is>
          <t/>
        </is>
      </c>
      <c r="G7" s="3" t="inlineStr">
        <is>
          <t/>
        </is>
      </c>
      <c r="H7" s="3" t="inlineStr">
        <is>
          <t/>
        </is>
      </c>
      <c r="I7" s="3" t="inlineStr">
        <is>
          <t/>
        </is>
      </c>
      <c r="J7" s="3" t="inlineStr">
        <is>
          <t/>
        </is>
      </c>
      <c r="K7" s="3" t="inlineStr">
        <is>
          <t/>
        </is>
      </c>
      <c r="L7" s="3" t="inlineStr">
        <is>
          <t/>
        </is>
      </c>
      <c r="M7" s="3" t="inlineStr">
        <is>
          <t/>
        </is>
      </c>
      <c r="N7" s="3" t="inlineStr">
        <is>
          <t/>
        </is>
      </c>
      <c r="O7" s="3" t="inlineStr">
        <is>
          <t/>
        </is>
      </c>
      <c r="P7" s="3" t="inlineStr">
        <is>
          <t/>
        </is>
      </c>
      <c r="Q7" s="3" t="inlineStr">
        <is>
          <t/>
        </is>
      </c>
      <c r="R7" s="3" t="inlineStr">
        <is>
          <t/>
        </is>
      </c>
      <c r="S7" s="3" t="inlineStr">
        <is>
          <t/>
        </is>
      </c>
      <c r="T7" s="3" t="inlineStr">
        <is>
          <t/>
        </is>
      </c>
      <c r="U7" s="3" t="inlineStr">
        <is>
          <t/>
        </is>
      </c>
      <c r="V7" s="3" t="inlineStr">
        <is>
          <t/>
        </is>
      </c>
      <c r="W7" s="3" t="inlineStr">
        <is>
          <t/>
        </is>
      </c>
      <c r="X7" s="3" t="inlineStr">
        <is>
          <t/>
        </is>
      </c>
      <c r="Y7" s="3" t="inlineStr">
        <is>
          <t/>
        </is>
      </c>
      <c r="Z7" s="3" t="inlineStr">
        <is>
          <t/>
        </is>
      </c>
      <c r="[7" s="3" t="inlineStr">
        <is>
          <t/>
        </is>
      </c>
      <c r="\7" s="3" t="inlineStr">
        <is>
          <t/>
        </is>
      </c>
      <c r="]7" s="3" t="inlineStr">
        <is>
          <t/>
        </is>
      </c>
      <c r="^7" s="3" t="inlineStr">
        <is>
          <t/>
        </is>
      </c>
      <c r="_7" s="3" t="inlineStr">
        <is>
          <t/>
        </is>
      </c>
      <c r="`7" s="3" t="inlineStr">
        <is>
          <t/>
        </is>
      </c>
      <c r="AG7" s="3" t="inlineStr">
        <is>
          <t>=SUM(B7:AF7)</t>
        </is>
      </c>
      <c r="AH7" s="3" t="inlineStr">
        <is>
          <t>=AG7/8</t>
        </is>
      </c>
    </row>
    <row r="8">
      <c r="A8" t="inlineStr">
        <is>
          <t>=IF('Punonjësit'!A8="","",'Punonjësit'!A8)</t>
        </is>
      </c>
      <c r="B8" s="3" t="inlineStr">
        <is>
          <t/>
        </is>
      </c>
      <c r="C8" s="3" t="inlineStr">
        <is>
          <t/>
        </is>
      </c>
      <c r="D8" s="3" t="inlineStr">
        <is>
          <t/>
        </is>
      </c>
      <c r="E8" s="3" t="inlineStr">
        <is>
          <t/>
        </is>
      </c>
      <c r="F8" s="3" t="inlineStr">
        <is>
          <t/>
        </is>
      </c>
      <c r="G8" s="3" t="inlineStr">
        <is>
          <t/>
        </is>
      </c>
      <c r="H8" s="3" t="inlineStr">
        <is>
          <t/>
        </is>
      </c>
      <c r="I8" s="3" t="inlineStr">
        <is>
          <t/>
        </is>
      </c>
      <c r="J8" s="3" t="inlineStr">
        <is>
          <t/>
        </is>
      </c>
      <c r="K8" s="3" t="inlineStr">
        <is>
          <t/>
        </is>
      </c>
      <c r="L8" s="3" t="inlineStr">
        <is>
          <t/>
        </is>
      </c>
      <c r="M8" s="3" t="inlineStr">
        <is>
          <t/>
        </is>
      </c>
      <c r="N8" s="3" t="inlineStr">
        <is>
          <t/>
        </is>
      </c>
      <c r="O8" s="3" t="inlineStr">
        <is>
          <t/>
        </is>
      </c>
      <c r="P8" s="3" t="inlineStr">
        <is>
          <t/>
        </is>
      </c>
      <c r="Q8" s="3" t="inlineStr">
        <is>
          <t/>
        </is>
      </c>
      <c r="R8" s="3" t="inlineStr">
        <is>
          <t/>
        </is>
      </c>
      <c r="S8" s="3" t="inlineStr">
        <is>
          <t/>
        </is>
      </c>
      <c r="T8" s="3" t="inlineStr">
        <is>
          <t/>
        </is>
      </c>
      <c r="U8" s="3" t="inlineStr">
        <is>
          <t/>
        </is>
      </c>
      <c r="V8" s="3" t="inlineStr">
        <is>
          <t/>
        </is>
      </c>
      <c r="W8" s="3" t="inlineStr">
        <is>
          <t/>
        </is>
      </c>
      <c r="X8" s="3" t="inlineStr">
        <is>
          <t/>
        </is>
      </c>
      <c r="Y8" s="3" t="inlineStr">
        <is>
          <t/>
        </is>
      </c>
      <c r="Z8" s="3" t="inlineStr">
        <is>
          <t/>
        </is>
      </c>
      <c r="[8" s="3" t="inlineStr">
        <is>
          <t/>
        </is>
      </c>
      <c r="\8" s="3" t="inlineStr">
        <is>
          <t/>
        </is>
      </c>
      <c r="]8" s="3" t="inlineStr">
        <is>
          <t/>
        </is>
      </c>
      <c r="^8" s="3" t="inlineStr">
        <is>
          <t/>
        </is>
      </c>
      <c r="_8" s="3" t="inlineStr">
        <is>
          <t/>
        </is>
      </c>
      <c r="`8" s="3" t="inlineStr">
        <is>
          <t/>
        </is>
      </c>
      <c r="AG8" s="3" t="inlineStr">
        <is>
          <t>=SUM(B8:AF8)</t>
        </is>
      </c>
      <c r="AH8" s="3" t="inlineStr">
        <is>
          <t>=AG8/8</t>
        </is>
      </c>
    </row>
    <row r="9">
      <c r="A9" t="inlineStr">
        <is>
          <t>=IF('Punonjësit'!A9="","",'Punonjësit'!A9)</t>
        </is>
      </c>
      <c r="B9" s="3" t="inlineStr">
        <is>
          <t/>
        </is>
      </c>
      <c r="C9" s="3" t="inlineStr">
        <is>
          <t/>
        </is>
      </c>
      <c r="D9" s="3" t="inlineStr">
        <is>
          <t/>
        </is>
      </c>
      <c r="E9" s="3" t="inlineStr">
        <is>
          <t/>
        </is>
      </c>
      <c r="F9" s="3" t="inlineStr">
        <is>
          <t/>
        </is>
      </c>
      <c r="G9" s="3" t="inlineStr">
        <is>
          <t/>
        </is>
      </c>
      <c r="H9" s="3" t="inlineStr">
        <is>
          <t/>
        </is>
      </c>
      <c r="I9" s="3" t="inlineStr">
        <is>
          <t/>
        </is>
      </c>
      <c r="J9" s="3" t="inlineStr">
        <is>
          <t/>
        </is>
      </c>
      <c r="K9" s="3" t="inlineStr">
        <is>
          <t/>
        </is>
      </c>
      <c r="L9" s="3" t="inlineStr">
        <is>
          <t/>
        </is>
      </c>
      <c r="M9" s="3" t="inlineStr">
        <is>
          <t/>
        </is>
      </c>
      <c r="N9" s="3" t="inlineStr">
        <is>
          <t/>
        </is>
      </c>
      <c r="O9" s="3" t="inlineStr">
        <is>
          <t/>
        </is>
      </c>
      <c r="P9" s="3" t="inlineStr">
        <is>
          <t/>
        </is>
      </c>
      <c r="Q9" s="3" t="inlineStr">
        <is>
          <t/>
        </is>
      </c>
      <c r="R9" s="3" t="inlineStr">
        <is>
          <t/>
        </is>
      </c>
      <c r="S9" s="3" t="inlineStr">
        <is>
          <t/>
        </is>
      </c>
      <c r="T9" s="3" t="inlineStr">
        <is>
          <t/>
        </is>
      </c>
      <c r="U9" s="3" t="inlineStr">
        <is>
          <t/>
        </is>
      </c>
      <c r="V9" s="3" t="inlineStr">
        <is>
          <t/>
        </is>
      </c>
      <c r="W9" s="3" t="inlineStr">
        <is>
          <t/>
        </is>
      </c>
      <c r="X9" s="3" t="inlineStr">
        <is>
          <t/>
        </is>
      </c>
      <c r="Y9" s="3" t="inlineStr">
        <is>
          <t/>
        </is>
      </c>
      <c r="Z9" s="3" t="inlineStr">
        <is>
          <t/>
        </is>
      </c>
      <c r="[9" s="3" t="inlineStr">
        <is>
          <t/>
        </is>
      </c>
      <c r="\9" s="3" t="inlineStr">
        <is>
          <t/>
        </is>
      </c>
      <c r="]9" s="3" t="inlineStr">
        <is>
          <t/>
        </is>
      </c>
      <c r="^9" s="3" t="inlineStr">
        <is>
          <t/>
        </is>
      </c>
      <c r="_9" s="3" t="inlineStr">
        <is>
          <t/>
        </is>
      </c>
      <c r="`9" s="3" t="inlineStr">
        <is>
          <t/>
        </is>
      </c>
      <c r="AG9" s="3" t="inlineStr">
        <is>
          <t>=SUM(B9:AF9)</t>
        </is>
      </c>
      <c r="AH9" s="3" t="inlineStr">
        <is>
          <t>=AG9/8</t>
        </is>
      </c>
    </row>
    <row r="10">
      <c r="A10" t="inlineStr">
        <is>
          <t>=IF('Punonjësit'!A10="","",'Punonjësit'!A10)</t>
        </is>
      </c>
      <c r="B10" s="3" t="inlineStr">
        <is>
          <t/>
        </is>
      </c>
      <c r="C10" s="3" t="inlineStr">
        <is>
          <t/>
        </is>
      </c>
      <c r="D10" s="3" t="inlineStr">
        <is>
          <t/>
        </is>
      </c>
      <c r="E10" s="3" t="inlineStr">
        <is>
          <t/>
        </is>
      </c>
      <c r="F10" s="3" t="inlineStr">
        <is>
          <t/>
        </is>
      </c>
      <c r="G10" s="3" t="inlineStr">
        <is>
          <t/>
        </is>
      </c>
      <c r="H10" s="3" t="inlineStr">
        <is>
          <t/>
        </is>
      </c>
      <c r="I10" s="3" t="inlineStr">
        <is>
          <t/>
        </is>
      </c>
      <c r="J10" s="3" t="inlineStr">
        <is>
          <t/>
        </is>
      </c>
      <c r="K10" s="3" t="inlineStr">
        <is>
          <t/>
        </is>
      </c>
      <c r="L10" s="3" t="inlineStr">
        <is>
          <t/>
        </is>
      </c>
      <c r="M10" s="3" t="inlineStr">
        <is>
          <t/>
        </is>
      </c>
      <c r="N10" s="3" t="inlineStr">
        <is>
          <t/>
        </is>
      </c>
      <c r="O10" s="3" t="inlineStr">
        <is>
          <t/>
        </is>
      </c>
      <c r="P10" s="3" t="inlineStr">
        <is>
          <t/>
        </is>
      </c>
      <c r="Q10" s="3" t="inlineStr">
        <is>
          <t/>
        </is>
      </c>
      <c r="R10" s="3" t="inlineStr">
        <is>
          <t/>
        </is>
      </c>
      <c r="S10" s="3" t="inlineStr">
        <is>
          <t/>
        </is>
      </c>
      <c r="T10" s="3" t="inlineStr">
        <is>
          <t/>
        </is>
      </c>
      <c r="U10" s="3" t="inlineStr">
        <is>
          <t/>
        </is>
      </c>
      <c r="V10" s="3" t="inlineStr">
        <is>
          <t/>
        </is>
      </c>
      <c r="W10" s="3" t="inlineStr">
        <is>
          <t/>
        </is>
      </c>
      <c r="X10" s="3" t="inlineStr">
        <is>
          <t/>
        </is>
      </c>
      <c r="Y10" s="3" t="inlineStr">
        <is>
          <t/>
        </is>
      </c>
      <c r="Z10" s="3" t="inlineStr">
        <is>
          <t/>
        </is>
      </c>
      <c r="[10" s="3" t="inlineStr">
        <is>
          <t/>
        </is>
      </c>
      <c r="\10" s="3" t="inlineStr">
        <is>
          <t/>
        </is>
      </c>
      <c r="]10" s="3" t="inlineStr">
        <is>
          <t/>
        </is>
      </c>
      <c r="^10" s="3" t="inlineStr">
        <is>
          <t/>
        </is>
      </c>
      <c r="_10" s="3" t="inlineStr">
        <is>
          <t/>
        </is>
      </c>
      <c r="`10" s="3" t="inlineStr">
        <is>
          <t/>
        </is>
      </c>
      <c r="AG10" s="3" t="inlineStr">
        <is>
          <t>=SUM(B10:AF10)</t>
        </is>
      </c>
      <c r="AH10" s="3" t="inlineStr">
        <is>
          <t>=AG10/8</t>
        </is>
      </c>
    </row>
    <row r="11">
      <c r="A11" t="inlineStr">
        <is>
          <t>=IF('Punonjësit'!A11="","",'Punonjësit'!A11)</t>
        </is>
      </c>
      <c r="B11" s="3" t="inlineStr">
        <is>
          <t/>
        </is>
      </c>
      <c r="C11" s="3" t="inlineStr">
        <is>
          <t/>
        </is>
      </c>
      <c r="D11" s="3" t="inlineStr">
        <is>
          <t/>
        </is>
      </c>
      <c r="E11" s="3" t="inlineStr">
        <is>
          <t/>
        </is>
      </c>
      <c r="F11" s="3" t="inlineStr">
        <is>
          <t/>
        </is>
      </c>
      <c r="G11" s="3" t="inlineStr">
        <is>
          <t/>
        </is>
      </c>
      <c r="H11" s="3" t="inlineStr">
        <is>
          <t/>
        </is>
      </c>
      <c r="I11" s="3" t="inlineStr">
        <is>
          <t/>
        </is>
      </c>
      <c r="J11" s="3" t="inlineStr">
        <is>
          <t/>
        </is>
      </c>
      <c r="K11" s="3" t="inlineStr">
        <is>
          <t/>
        </is>
      </c>
      <c r="L11" s="3" t="inlineStr">
        <is>
          <t/>
        </is>
      </c>
      <c r="M11" s="3" t="inlineStr">
        <is>
          <t/>
        </is>
      </c>
      <c r="N11" s="3" t="inlineStr">
        <is>
          <t/>
        </is>
      </c>
      <c r="O11" s="3" t="inlineStr">
        <is>
          <t/>
        </is>
      </c>
      <c r="P11" s="3" t="inlineStr">
        <is>
          <t/>
        </is>
      </c>
      <c r="Q11" s="3" t="inlineStr">
        <is>
          <t/>
        </is>
      </c>
      <c r="R11" s="3" t="inlineStr">
        <is>
          <t/>
        </is>
      </c>
      <c r="S11" s="3" t="inlineStr">
        <is>
          <t/>
        </is>
      </c>
      <c r="T11" s="3" t="inlineStr">
        <is>
          <t/>
        </is>
      </c>
      <c r="U11" s="3" t="inlineStr">
        <is>
          <t/>
        </is>
      </c>
      <c r="V11" s="3" t="inlineStr">
        <is>
          <t/>
        </is>
      </c>
      <c r="W11" s="3" t="inlineStr">
        <is>
          <t/>
        </is>
      </c>
      <c r="X11" s="3" t="inlineStr">
        <is>
          <t/>
        </is>
      </c>
      <c r="Y11" s="3" t="inlineStr">
        <is>
          <t/>
        </is>
      </c>
      <c r="Z11" s="3" t="inlineStr">
        <is>
          <t/>
        </is>
      </c>
      <c r="[11" s="3" t="inlineStr">
        <is>
          <t/>
        </is>
      </c>
      <c r="\11" s="3" t="inlineStr">
        <is>
          <t/>
        </is>
      </c>
      <c r="]11" s="3" t="inlineStr">
        <is>
          <t/>
        </is>
      </c>
      <c r="^11" s="3" t="inlineStr">
        <is>
          <t/>
        </is>
      </c>
      <c r="_11" s="3" t="inlineStr">
        <is>
          <t/>
        </is>
      </c>
      <c r="`11" s="3" t="inlineStr">
        <is>
          <t/>
        </is>
      </c>
      <c r="AG11" s="3" t="inlineStr">
        <is>
          <t>=SUM(B11:AF11)</t>
        </is>
      </c>
      <c r="AH11" s="3" t="inlineStr">
        <is>
          <t>=AG11/8</t>
        </is>
      </c>
    </row>
    <row r="12">
      <c r="A12" t="inlineStr">
        <is>
          <t>=IF('Punonjësit'!A12="","",'Punonjësit'!A12)</t>
        </is>
      </c>
      <c r="B12" s="3" t="inlineStr">
        <is>
          <t/>
        </is>
      </c>
      <c r="C12" s="3" t="inlineStr">
        <is>
          <t/>
        </is>
      </c>
      <c r="D12" s="3" t="inlineStr">
        <is>
          <t/>
        </is>
      </c>
      <c r="E12" s="3" t="inlineStr">
        <is>
          <t/>
        </is>
      </c>
      <c r="F12" s="3" t="inlineStr">
        <is>
          <t/>
        </is>
      </c>
      <c r="G12" s="3" t="inlineStr">
        <is>
          <t/>
        </is>
      </c>
      <c r="H12" s="3" t="inlineStr">
        <is>
          <t/>
        </is>
      </c>
      <c r="I12" s="3" t="inlineStr">
        <is>
          <t/>
        </is>
      </c>
      <c r="J12" s="3" t="inlineStr">
        <is>
          <t/>
        </is>
      </c>
      <c r="K12" s="3" t="inlineStr">
        <is>
          <t/>
        </is>
      </c>
      <c r="L12" s="3" t="inlineStr">
        <is>
          <t/>
        </is>
      </c>
      <c r="M12" s="3" t="inlineStr">
        <is>
          <t/>
        </is>
      </c>
      <c r="N12" s="3" t="inlineStr">
        <is>
          <t/>
        </is>
      </c>
      <c r="O12" s="3" t="inlineStr">
        <is>
          <t/>
        </is>
      </c>
      <c r="P12" s="3" t="inlineStr">
        <is>
          <t/>
        </is>
      </c>
      <c r="Q12" s="3" t="inlineStr">
        <is>
          <t/>
        </is>
      </c>
      <c r="R12" s="3" t="inlineStr">
        <is>
          <t/>
        </is>
      </c>
      <c r="S12" s="3" t="inlineStr">
        <is>
          <t/>
        </is>
      </c>
      <c r="T12" s="3" t="inlineStr">
        <is>
          <t/>
        </is>
      </c>
      <c r="U12" s="3" t="inlineStr">
        <is>
          <t/>
        </is>
      </c>
      <c r="V12" s="3" t="inlineStr">
        <is>
          <t/>
        </is>
      </c>
      <c r="W12" s="3" t="inlineStr">
        <is>
          <t/>
        </is>
      </c>
      <c r="X12" s="3" t="inlineStr">
        <is>
          <t/>
        </is>
      </c>
      <c r="Y12" s="3" t="inlineStr">
        <is>
          <t/>
        </is>
      </c>
      <c r="Z12" s="3" t="inlineStr">
        <is>
          <t/>
        </is>
      </c>
      <c r="[12" s="3" t="inlineStr">
        <is>
          <t/>
        </is>
      </c>
      <c r="\12" s="3" t="inlineStr">
        <is>
          <t/>
        </is>
      </c>
      <c r="]12" s="3" t="inlineStr">
        <is>
          <t/>
        </is>
      </c>
      <c r="^12" s="3" t="inlineStr">
        <is>
          <t/>
        </is>
      </c>
      <c r="_12" s="3" t="inlineStr">
        <is>
          <t/>
        </is>
      </c>
      <c r="`12" s="3" t="inlineStr">
        <is>
          <t/>
        </is>
      </c>
      <c r="AG12" s="3" t="inlineStr">
        <is>
          <t>=SUM(B12:AF12)</t>
        </is>
      </c>
      <c r="AH12" s="3" t="inlineStr">
        <is>
          <t>=AG12/8</t>
        </is>
      </c>
    </row>
    <row r="13">
      <c r="A13" t="inlineStr">
        <is>
          <t>=IF('Punonjësit'!A13="","",'Punonjësit'!A13)</t>
        </is>
      </c>
      <c r="B13" s="3" t="inlineStr">
        <is>
          <t/>
        </is>
      </c>
      <c r="C13" s="3" t="inlineStr">
        <is>
          <t/>
        </is>
      </c>
      <c r="D13" s="3" t="inlineStr">
        <is>
          <t/>
        </is>
      </c>
      <c r="E13" s="3" t="inlineStr">
        <is>
          <t/>
        </is>
      </c>
      <c r="F13" s="3" t="inlineStr">
        <is>
          <t/>
        </is>
      </c>
      <c r="G13" s="3" t="inlineStr">
        <is>
          <t/>
        </is>
      </c>
      <c r="H13" s="3" t="inlineStr">
        <is>
          <t/>
        </is>
      </c>
      <c r="I13" s="3" t="inlineStr">
        <is>
          <t/>
        </is>
      </c>
      <c r="J13" s="3" t="inlineStr">
        <is>
          <t/>
        </is>
      </c>
      <c r="K13" s="3" t="inlineStr">
        <is>
          <t/>
        </is>
      </c>
      <c r="L13" s="3" t="inlineStr">
        <is>
          <t/>
        </is>
      </c>
      <c r="M13" s="3" t="inlineStr">
        <is>
          <t/>
        </is>
      </c>
      <c r="N13" s="3" t="inlineStr">
        <is>
          <t/>
        </is>
      </c>
      <c r="O13" s="3" t="inlineStr">
        <is>
          <t/>
        </is>
      </c>
      <c r="P13" s="3" t="inlineStr">
        <is>
          <t/>
        </is>
      </c>
      <c r="Q13" s="3" t="inlineStr">
        <is>
          <t/>
        </is>
      </c>
      <c r="R13" s="3" t="inlineStr">
        <is>
          <t/>
        </is>
      </c>
      <c r="S13" s="3" t="inlineStr">
        <is>
          <t/>
        </is>
      </c>
      <c r="T13" s="3" t="inlineStr">
        <is>
          <t/>
        </is>
      </c>
      <c r="U13" s="3" t="inlineStr">
        <is>
          <t/>
        </is>
      </c>
      <c r="V13" s="3" t="inlineStr">
        <is>
          <t/>
        </is>
      </c>
      <c r="W13" s="3" t="inlineStr">
        <is>
          <t/>
        </is>
      </c>
      <c r="X13" s="3" t="inlineStr">
        <is>
          <t/>
        </is>
      </c>
      <c r="Y13" s="3" t="inlineStr">
        <is>
          <t/>
        </is>
      </c>
      <c r="Z13" s="3" t="inlineStr">
        <is>
          <t/>
        </is>
      </c>
      <c r="[13" s="3" t="inlineStr">
        <is>
          <t/>
        </is>
      </c>
      <c r="\13" s="3" t="inlineStr">
        <is>
          <t/>
        </is>
      </c>
      <c r="]13" s="3" t="inlineStr">
        <is>
          <t/>
        </is>
      </c>
      <c r="^13" s="3" t="inlineStr">
        <is>
          <t/>
        </is>
      </c>
      <c r="_13" s="3" t="inlineStr">
        <is>
          <t/>
        </is>
      </c>
      <c r="`13" s="3" t="inlineStr">
        <is>
          <t/>
        </is>
      </c>
      <c r="AG13" s="3" t="inlineStr">
        <is>
          <t>=SUM(B13:AF13)</t>
        </is>
      </c>
      <c r="AH13" s="3" t="inlineStr">
        <is>
          <t>=AG13/8</t>
        </is>
      </c>
    </row>
    <row r="14">
      <c r="A14" t="inlineStr">
        <is>
          <t>=IF('Punonjësit'!A14="","",'Punonjësit'!A14)</t>
        </is>
      </c>
      <c r="B14" s="3" t="inlineStr">
        <is>
          <t/>
        </is>
      </c>
      <c r="C14" s="3" t="inlineStr">
        <is>
          <t/>
        </is>
      </c>
      <c r="D14" s="3" t="inlineStr">
        <is>
          <t/>
        </is>
      </c>
      <c r="E14" s="3" t="inlineStr">
        <is>
          <t/>
        </is>
      </c>
      <c r="F14" s="3" t="inlineStr">
        <is>
          <t/>
        </is>
      </c>
      <c r="G14" s="3" t="inlineStr">
        <is>
          <t/>
        </is>
      </c>
      <c r="H14" s="3" t="inlineStr">
        <is>
          <t/>
        </is>
      </c>
      <c r="I14" s="3" t="inlineStr">
        <is>
          <t/>
        </is>
      </c>
      <c r="J14" s="3" t="inlineStr">
        <is>
          <t/>
        </is>
      </c>
      <c r="K14" s="3" t="inlineStr">
        <is>
          <t/>
        </is>
      </c>
      <c r="L14" s="3" t="inlineStr">
        <is>
          <t/>
        </is>
      </c>
      <c r="M14" s="3" t="inlineStr">
        <is>
          <t/>
        </is>
      </c>
      <c r="N14" s="3" t="inlineStr">
        <is>
          <t/>
        </is>
      </c>
      <c r="O14" s="3" t="inlineStr">
        <is>
          <t/>
        </is>
      </c>
      <c r="P14" s="3" t="inlineStr">
        <is>
          <t/>
        </is>
      </c>
      <c r="Q14" s="3" t="inlineStr">
        <is>
          <t/>
        </is>
      </c>
      <c r="R14" s="3" t="inlineStr">
        <is>
          <t/>
        </is>
      </c>
      <c r="S14" s="3" t="inlineStr">
        <is>
          <t/>
        </is>
      </c>
      <c r="T14" s="3" t="inlineStr">
        <is>
          <t/>
        </is>
      </c>
      <c r="U14" s="3" t="inlineStr">
        <is>
          <t/>
        </is>
      </c>
      <c r="V14" s="3" t="inlineStr">
        <is>
          <t/>
        </is>
      </c>
      <c r="W14" s="3" t="inlineStr">
        <is>
          <t/>
        </is>
      </c>
      <c r="X14" s="3" t="inlineStr">
        <is>
          <t/>
        </is>
      </c>
      <c r="Y14" s="3" t="inlineStr">
        <is>
          <t/>
        </is>
      </c>
      <c r="Z14" s="3" t="inlineStr">
        <is>
          <t/>
        </is>
      </c>
      <c r="[14" s="3" t="inlineStr">
        <is>
          <t/>
        </is>
      </c>
      <c r="\14" s="3" t="inlineStr">
        <is>
          <t/>
        </is>
      </c>
      <c r="]14" s="3" t="inlineStr">
        <is>
          <t/>
        </is>
      </c>
      <c r="^14" s="3" t="inlineStr">
        <is>
          <t/>
        </is>
      </c>
      <c r="_14" s="3" t="inlineStr">
        <is>
          <t/>
        </is>
      </c>
      <c r="`14" s="3" t="inlineStr">
        <is>
          <t/>
        </is>
      </c>
      <c r="AG14" s="3" t="inlineStr">
        <is>
          <t>=SUM(B14:AF14)</t>
        </is>
      </c>
      <c r="AH14" s="3" t="inlineStr">
        <is>
          <t>=AG14/8</t>
        </is>
      </c>
    </row>
    <row r="15">
      <c r="A15" t="inlineStr">
        <is>
          <t>=IF('Punonjësit'!A15="","",'Punonjësit'!A15)</t>
        </is>
      </c>
      <c r="B15" s="3" t="inlineStr">
        <is>
          <t/>
        </is>
      </c>
      <c r="C15" s="3" t="inlineStr">
        <is>
          <t/>
        </is>
      </c>
      <c r="D15" s="3" t="inlineStr">
        <is>
          <t/>
        </is>
      </c>
      <c r="E15" s="3" t="inlineStr">
        <is>
          <t/>
        </is>
      </c>
      <c r="F15" s="3" t="inlineStr">
        <is>
          <t/>
        </is>
      </c>
      <c r="G15" s="3" t="inlineStr">
        <is>
          <t/>
        </is>
      </c>
      <c r="H15" s="3" t="inlineStr">
        <is>
          <t/>
        </is>
      </c>
      <c r="I15" s="3" t="inlineStr">
        <is>
          <t/>
        </is>
      </c>
      <c r="J15" s="3" t="inlineStr">
        <is>
          <t/>
        </is>
      </c>
      <c r="K15" s="3" t="inlineStr">
        <is>
          <t/>
        </is>
      </c>
      <c r="L15" s="3" t="inlineStr">
        <is>
          <t/>
        </is>
      </c>
      <c r="M15" s="3" t="inlineStr">
        <is>
          <t/>
        </is>
      </c>
      <c r="N15" s="3" t="inlineStr">
        <is>
          <t/>
        </is>
      </c>
      <c r="O15" s="3" t="inlineStr">
        <is>
          <t/>
        </is>
      </c>
      <c r="P15" s="3" t="inlineStr">
        <is>
          <t/>
        </is>
      </c>
      <c r="Q15" s="3" t="inlineStr">
        <is>
          <t/>
        </is>
      </c>
      <c r="R15" s="3" t="inlineStr">
        <is>
          <t/>
        </is>
      </c>
      <c r="S15" s="3" t="inlineStr">
        <is>
          <t/>
        </is>
      </c>
      <c r="T15" s="3" t="inlineStr">
        <is>
          <t/>
        </is>
      </c>
      <c r="U15" s="3" t="inlineStr">
        <is>
          <t/>
        </is>
      </c>
      <c r="V15" s="3" t="inlineStr">
        <is>
          <t/>
        </is>
      </c>
      <c r="W15" s="3" t="inlineStr">
        <is>
          <t/>
        </is>
      </c>
      <c r="X15" s="3" t="inlineStr">
        <is>
          <t/>
        </is>
      </c>
      <c r="Y15" s="3" t="inlineStr">
        <is>
          <t/>
        </is>
      </c>
      <c r="Z15" s="3" t="inlineStr">
        <is>
          <t/>
        </is>
      </c>
      <c r="[15" s="3" t="inlineStr">
        <is>
          <t/>
        </is>
      </c>
      <c r="\15" s="3" t="inlineStr">
        <is>
          <t/>
        </is>
      </c>
      <c r="]15" s="3" t="inlineStr">
        <is>
          <t/>
        </is>
      </c>
      <c r="^15" s="3" t="inlineStr">
        <is>
          <t/>
        </is>
      </c>
      <c r="_15" s="3" t="inlineStr">
        <is>
          <t/>
        </is>
      </c>
      <c r="`15" s="3" t="inlineStr">
        <is>
          <t/>
        </is>
      </c>
      <c r="AG15" s="3" t="inlineStr">
        <is>
          <t>=SUM(B15:AF15)</t>
        </is>
      </c>
      <c r="AH15" s="3" t="inlineStr">
        <is>
          <t>=AG15/8</t>
        </is>
      </c>
    </row>
    <row r="16">
      <c r="A16" t="inlineStr">
        <is>
          <t>=IF('Punonjësit'!A16="","",'Punonjësit'!A16)</t>
        </is>
      </c>
      <c r="B16" s="3" t="inlineStr">
        <is>
          <t/>
        </is>
      </c>
      <c r="C16" s="3" t="inlineStr">
        <is>
          <t/>
        </is>
      </c>
      <c r="D16" s="3" t="inlineStr">
        <is>
          <t/>
        </is>
      </c>
      <c r="E16" s="3" t="inlineStr">
        <is>
          <t/>
        </is>
      </c>
      <c r="F16" s="3" t="inlineStr">
        <is>
          <t/>
        </is>
      </c>
      <c r="G16" s="3" t="inlineStr">
        <is>
          <t/>
        </is>
      </c>
      <c r="H16" s="3" t="inlineStr">
        <is>
          <t/>
        </is>
      </c>
      <c r="I16" s="3" t="inlineStr">
        <is>
          <t/>
        </is>
      </c>
      <c r="J16" s="3" t="inlineStr">
        <is>
          <t/>
        </is>
      </c>
      <c r="K16" s="3" t="inlineStr">
        <is>
          <t/>
        </is>
      </c>
      <c r="L16" s="3" t="inlineStr">
        <is>
          <t/>
        </is>
      </c>
      <c r="M16" s="3" t="inlineStr">
        <is>
          <t/>
        </is>
      </c>
      <c r="N16" s="3" t="inlineStr">
        <is>
          <t/>
        </is>
      </c>
      <c r="O16" s="3" t="inlineStr">
        <is>
          <t/>
        </is>
      </c>
      <c r="P16" s="3" t="inlineStr">
        <is>
          <t/>
        </is>
      </c>
      <c r="Q16" s="3" t="inlineStr">
        <is>
          <t/>
        </is>
      </c>
      <c r="R16" s="3" t="inlineStr">
        <is>
          <t/>
        </is>
      </c>
      <c r="S16" s="3" t="inlineStr">
        <is>
          <t/>
        </is>
      </c>
      <c r="T16" s="3" t="inlineStr">
        <is>
          <t/>
        </is>
      </c>
      <c r="U16" s="3" t="inlineStr">
        <is>
          <t/>
        </is>
      </c>
      <c r="V16" s="3" t="inlineStr">
        <is>
          <t/>
        </is>
      </c>
      <c r="W16" s="3" t="inlineStr">
        <is>
          <t/>
        </is>
      </c>
      <c r="X16" s="3" t="inlineStr">
        <is>
          <t/>
        </is>
      </c>
      <c r="Y16" s="3" t="inlineStr">
        <is>
          <t/>
        </is>
      </c>
      <c r="Z16" s="3" t="inlineStr">
        <is>
          <t/>
        </is>
      </c>
      <c r="[16" s="3" t="inlineStr">
        <is>
          <t/>
        </is>
      </c>
      <c r="\16" s="3" t="inlineStr">
        <is>
          <t/>
        </is>
      </c>
      <c r="]16" s="3" t="inlineStr">
        <is>
          <t/>
        </is>
      </c>
      <c r="^16" s="3" t="inlineStr">
        <is>
          <t/>
        </is>
      </c>
      <c r="_16" s="3" t="inlineStr">
        <is>
          <t/>
        </is>
      </c>
      <c r="`16" s="3" t="inlineStr">
        <is>
          <t/>
        </is>
      </c>
      <c r="AG16" s="3" t="inlineStr">
        <is>
          <t>=SUM(B16:AF16)</t>
        </is>
      </c>
      <c r="AH16" s="3" t="inlineStr">
        <is>
          <t>=AG16/8</t>
        </is>
      </c>
    </row>
    <row r="17">
      <c r="A17" t="inlineStr">
        <is>
          <t>=IF('Punonjësit'!A17="","",'Punonjësit'!A17)</t>
        </is>
      </c>
      <c r="B17" s="3" t="inlineStr">
        <is>
          <t/>
        </is>
      </c>
      <c r="C17" s="3" t="inlineStr">
        <is>
          <t/>
        </is>
      </c>
      <c r="D17" s="3" t="inlineStr">
        <is>
          <t/>
        </is>
      </c>
      <c r="E17" s="3" t="inlineStr">
        <is>
          <t/>
        </is>
      </c>
      <c r="F17" s="3" t="inlineStr">
        <is>
          <t/>
        </is>
      </c>
      <c r="G17" s="3" t="inlineStr">
        <is>
          <t/>
        </is>
      </c>
      <c r="H17" s="3" t="inlineStr">
        <is>
          <t/>
        </is>
      </c>
      <c r="I17" s="3" t="inlineStr">
        <is>
          <t/>
        </is>
      </c>
      <c r="J17" s="3" t="inlineStr">
        <is>
          <t/>
        </is>
      </c>
      <c r="K17" s="3" t="inlineStr">
        <is>
          <t/>
        </is>
      </c>
      <c r="L17" s="3" t="inlineStr">
        <is>
          <t/>
        </is>
      </c>
      <c r="M17" s="3" t="inlineStr">
        <is>
          <t/>
        </is>
      </c>
      <c r="N17" s="3" t="inlineStr">
        <is>
          <t/>
        </is>
      </c>
      <c r="O17" s="3" t="inlineStr">
        <is>
          <t/>
        </is>
      </c>
      <c r="P17" s="3" t="inlineStr">
        <is>
          <t/>
        </is>
      </c>
      <c r="Q17" s="3" t="inlineStr">
        <is>
          <t/>
        </is>
      </c>
      <c r="R17" s="3" t="inlineStr">
        <is>
          <t/>
        </is>
      </c>
      <c r="S17" s="3" t="inlineStr">
        <is>
          <t/>
        </is>
      </c>
      <c r="T17" s="3" t="inlineStr">
        <is>
          <t/>
        </is>
      </c>
      <c r="U17" s="3" t="inlineStr">
        <is>
          <t/>
        </is>
      </c>
      <c r="V17" s="3" t="inlineStr">
        <is>
          <t/>
        </is>
      </c>
      <c r="W17" s="3" t="inlineStr">
        <is>
          <t/>
        </is>
      </c>
      <c r="X17" s="3" t="inlineStr">
        <is>
          <t/>
        </is>
      </c>
      <c r="Y17" s="3" t="inlineStr">
        <is>
          <t/>
        </is>
      </c>
      <c r="Z17" s="3" t="inlineStr">
        <is>
          <t/>
        </is>
      </c>
      <c r="[17" s="3" t="inlineStr">
        <is>
          <t/>
        </is>
      </c>
      <c r="\17" s="3" t="inlineStr">
        <is>
          <t/>
        </is>
      </c>
      <c r="]17" s="3" t="inlineStr">
        <is>
          <t/>
        </is>
      </c>
      <c r="^17" s="3" t="inlineStr">
        <is>
          <t/>
        </is>
      </c>
      <c r="_17" s="3" t="inlineStr">
        <is>
          <t/>
        </is>
      </c>
      <c r="`17" s="3" t="inlineStr">
        <is>
          <t/>
        </is>
      </c>
      <c r="AG17" s="3" t="inlineStr">
        <is>
          <t>=SUM(B17:AF17)</t>
        </is>
      </c>
      <c r="AH17" s="3" t="inlineStr">
        <is>
          <t>=AG17/8</t>
        </is>
      </c>
    </row>
    <row r="18">
      <c r="A18" t="inlineStr">
        <is>
          <t>=IF('Punonjësit'!A18="","",'Punonjësit'!A18)</t>
        </is>
      </c>
      <c r="B18" s="3" t="inlineStr">
        <is>
          <t/>
        </is>
      </c>
      <c r="C18" s="3" t="inlineStr">
        <is>
          <t/>
        </is>
      </c>
      <c r="D18" s="3" t="inlineStr">
        <is>
          <t/>
        </is>
      </c>
      <c r="E18" s="3" t="inlineStr">
        <is>
          <t/>
        </is>
      </c>
      <c r="F18" s="3" t="inlineStr">
        <is>
          <t/>
        </is>
      </c>
      <c r="G18" s="3" t="inlineStr">
        <is>
          <t/>
        </is>
      </c>
      <c r="H18" s="3" t="inlineStr">
        <is>
          <t/>
        </is>
      </c>
      <c r="I18" s="3" t="inlineStr">
        <is>
          <t/>
        </is>
      </c>
      <c r="J18" s="3" t="inlineStr">
        <is>
          <t/>
        </is>
      </c>
      <c r="K18" s="3" t="inlineStr">
        <is>
          <t/>
        </is>
      </c>
      <c r="L18" s="3" t="inlineStr">
        <is>
          <t/>
        </is>
      </c>
      <c r="M18" s="3" t="inlineStr">
        <is>
          <t/>
        </is>
      </c>
      <c r="N18" s="3" t="inlineStr">
        <is>
          <t/>
        </is>
      </c>
      <c r="O18" s="3" t="inlineStr">
        <is>
          <t/>
        </is>
      </c>
      <c r="P18" s="3" t="inlineStr">
        <is>
          <t/>
        </is>
      </c>
      <c r="Q18" s="3" t="inlineStr">
        <is>
          <t/>
        </is>
      </c>
      <c r="R18" s="3" t="inlineStr">
        <is>
          <t/>
        </is>
      </c>
      <c r="S18" s="3" t="inlineStr">
        <is>
          <t/>
        </is>
      </c>
      <c r="T18" s="3" t="inlineStr">
        <is>
          <t/>
        </is>
      </c>
      <c r="U18" s="3" t="inlineStr">
        <is>
          <t/>
        </is>
      </c>
      <c r="V18" s="3" t="inlineStr">
        <is>
          <t/>
        </is>
      </c>
      <c r="W18" s="3" t="inlineStr">
        <is>
          <t/>
        </is>
      </c>
      <c r="X18" s="3" t="inlineStr">
        <is>
          <t/>
        </is>
      </c>
      <c r="Y18" s="3" t="inlineStr">
        <is>
          <t/>
        </is>
      </c>
      <c r="Z18" s="3" t="inlineStr">
        <is>
          <t/>
        </is>
      </c>
      <c r="[18" s="3" t="inlineStr">
        <is>
          <t/>
        </is>
      </c>
      <c r="\18" s="3" t="inlineStr">
        <is>
          <t/>
        </is>
      </c>
      <c r="]18" s="3" t="inlineStr">
        <is>
          <t/>
        </is>
      </c>
      <c r="^18" s="3" t="inlineStr">
        <is>
          <t/>
        </is>
      </c>
      <c r="_18" s="3" t="inlineStr">
        <is>
          <t/>
        </is>
      </c>
      <c r="`18" s="3" t="inlineStr">
        <is>
          <t/>
        </is>
      </c>
      <c r="AG18" s="3" t="inlineStr">
        <is>
          <t>=SUM(B18:AF18)</t>
        </is>
      </c>
      <c r="AH18" s="3" t="inlineStr">
        <is>
          <t>=AG18/8</t>
        </is>
      </c>
    </row>
    <row r="19">
      <c r="A19" t="inlineStr">
        <is>
          <t>=IF('Punonjësit'!A19="","",'Punonjësit'!A19)</t>
        </is>
      </c>
      <c r="B19" s="3" t="inlineStr">
        <is>
          <t/>
        </is>
      </c>
      <c r="C19" s="3" t="inlineStr">
        <is>
          <t/>
        </is>
      </c>
      <c r="D19" s="3" t="inlineStr">
        <is>
          <t/>
        </is>
      </c>
      <c r="E19" s="3" t="inlineStr">
        <is>
          <t/>
        </is>
      </c>
      <c r="F19" s="3" t="inlineStr">
        <is>
          <t/>
        </is>
      </c>
      <c r="G19" s="3" t="inlineStr">
        <is>
          <t/>
        </is>
      </c>
      <c r="H19" s="3" t="inlineStr">
        <is>
          <t/>
        </is>
      </c>
      <c r="I19" s="3" t="inlineStr">
        <is>
          <t/>
        </is>
      </c>
      <c r="J19" s="3" t="inlineStr">
        <is>
          <t/>
        </is>
      </c>
      <c r="K19" s="3" t="inlineStr">
        <is>
          <t/>
        </is>
      </c>
      <c r="L19" s="3" t="inlineStr">
        <is>
          <t/>
        </is>
      </c>
      <c r="M19" s="3" t="inlineStr">
        <is>
          <t/>
        </is>
      </c>
      <c r="N19" s="3" t="inlineStr">
        <is>
          <t/>
        </is>
      </c>
      <c r="O19" s="3" t="inlineStr">
        <is>
          <t/>
        </is>
      </c>
      <c r="P19" s="3" t="inlineStr">
        <is>
          <t/>
        </is>
      </c>
      <c r="Q19" s="3" t="inlineStr">
        <is>
          <t/>
        </is>
      </c>
      <c r="R19" s="3" t="inlineStr">
        <is>
          <t/>
        </is>
      </c>
      <c r="S19" s="3" t="inlineStr">
        <is>
          <t/>
        </is>
      </c>
      <c r="T19" s="3" t="inlineStr">
        <is>
          <t/>
        </is>
      </c>
      <c r="U19" s="3" t="inlineStr">
        <is>
          <t/>
        </is>
      </c>
      <c r="V19" s="3" t="inlineStr">
        <is>
          <t/>
        </is>
      </c>
      <c r="W19" s="3" t="inlineStr">
        <is>
          <t/>
        </is>
      </c>
      <c r="X19" s="3" t="inlineStr">
        <is>
          <t/>
        </is>
      </c>
      <c r="Y19" s="3" t="inlineStr">
        <is>
          <t/>
        </is>
      </c>
      <c r="Z19" s="3" t="inlineStr">
        <is>
          <t/>
        </is>
      </c>
      <c r="[19" s="3" t="inlineStr">
        <is>
          <t/>
        </is>
      </c>
      <c r="\19" s="3" t="inlineStr">
        <is>
          <t/>
        </is>
      </c>
      <c r="]19" s="3" t="inlineStr">
        <is>
          <t/>
        </is>
      </c>
      <c r="^19" s="3" t="inlineStr">
        <is>
          <t/>
        </is>
      </c>
      <c r="_19" s="3" t="inlineStr">
        <is>
          <t/>
        </is>
      </c>
      <c r="`19" s="3" t="inlineStr">
        <is>
          <t/>
        </is>
      </c>
      <c r="AG19" s="3" t="inlineStr">
        <is>
          <t>=SUM(B19:AF19)</t>
        </is>
      </c>
      <c r="AH19" s="3" t="inlineStr">
        <is>
          <t>=AG19/8</t>
        </is>
      </c>
    </row>
    <row r="20">
      <c r="A20" t="inlineStr">
        <is>
          <t>=IF('Punonjësit'!A20="","",'Punonjësit'!A20)</t>
        </is>
      </c>
      <c r="B20" s="3" t="inlineStr">
        <is>
          <t/>
        </is>
      </c>
      <c r="C20" s="3" t="inlineStr">
        <is>
          <t/>
        </is>
      </c>
      <c r="D20" s="3" t="inlineStr">
        <is>
          <t/>
        </is>
      </c>
      <c r="E20" s="3" t="inlineStr">
        <is>
          <t/>
        </is>
      </c>
      <c r="F20" s="3" t="inlineStr">
        <is>
          <t/>
        </is>
      </c>
      <c r="G20" s="3" t="inlineStr">
        <is>
          <t/>
        </is>
      </c>
      <c r="H20" s="3" t="inlineStr">
        <is>
          <t/>
        </is>
      </c>
      <c r="I20" s="3" t="inlineStr">
        <is>
          <t/>
        </is>
      </c>
      <c r="J20" s="3" t="inlineStr">
        <is>
          <t/>
        </is>
      </c>
      <c r="K20" s="3" t="inlineStr">
        <is>
          <t/>
        </is>
      </c>
      <c r="L20" s="3" t="inlineStr">
        <is>
          <t/>
        </is>
      </c>
      <c r="M20" s="3" t="inlineStr">
        <is>
          <t/>
        </is>
      </c>
      <c r="N20" s="3" t="inlineStr">
        <is>
          <t/>
        </is>
      </c>
      <c r="O20" s="3" t="inlineStr">
        <is>
          <t/>
        </is>
      </c>
      <c r="P20" s="3" t="inlineStr">
        <is>
          <t/>
        </is>
      </c>
      <c r="Q20" s="3" t="inlineStr">
        <is>
          <t/>
        </is>
      </c>
      <c r="R20" s="3" t="inlineStr">
        <is>
          <t/>
        </is>
      </c>
      <c r="S20" s="3" t="inlineStr">
        <is>
          <t/>
        </is>
      </c>
      <c r="T20" s="3" t="inlineStr">
        <is>
          <t/>
        </is>
      </c>
      <c r="U20" s="3" t="inlineStr">
        <is>
          <t/>
        </is>
      </c>
      <c r="V20" s="3" t="inlineStr">
        <is>
          <t/>
        </is>
      </c>
      <c r="W20" s="3" t="inlineStr">
        <is>
          <t/>
        </is>
      </c>
      <c r="X20" s="3" t="inlineStr">
        <is>
          <t/>
        </is>
      </c>
      <c r="Y20" s="3" t="inlineStr">
        <is>
          <t/>
        </is>
      </c>
      <c r="Z20" s="3" t="inlineStr">
        <is>
          <t/>
        </is>
      </c>
      <c r="[20" s="3" t="inlineStr">
        <is>
          <t/>
        </is>
      </c>
      <c r="\20" s="3" t="inlineStr">
        <is>
          <t/>
        </is>
      </c>
      <c r="]20" s="3" t="inlineStr">
        <is>
          <t/>
        </is>
      </c>
      <c r="^20" s="3" t="inlineStr">
        <is>
          <t/>
        </is>
      </c>
      <c r="_20" s="3" t="inlineStr">
        <is>
          <t/>
        </is>
      </c>
      <c r="`20" s="3" t="inlineStr">
        <is>
          <t/>
        </is>
      </c>
      <c r="AG20" s="3" t="inlineStr">
        <is>
          <t>=SUM(B20:AF20)</t>
        </is>
      </c>
      <c r="AH20" s="3" t="inlineStr">
        <is>
          <t>=AG20/8</t>
        </is>
      </c>
    </row>
    <row r="21">
      <c r="A21" t="inlineStr">
        <is>
          <t>=IF('Punonjësit'!A21="","",'Punonjësit'!A21)</t>
        </is>
      </c>
      <c r="B21" s="3" t="inlineStr">
        <is>
          <t/>
        </is>
      </c>
      <c r="C21" s="3" t="inlineStr">
        <is>
          <t/>
        </is>
      </c>
      <c r="D21" s="3" t="inlineStr">
        <is>
          <t/>
        </is>
      </c>
      <c r="E21" s="3" t="inlineStr">
        <is>
          <t/>
        </is>
      </c>
      <c r="F21" s="3" t="inlineStr">
        <is>
          <t/>
        </is>
      </c>
      <c r="G21" s="3" t="inlineStr">
        <is>
          <t/>
        </is>
      </c>
      <c r="H21" s="3" t="inlineStr">
        <is>
          <t/>
        </is>
      </c>
      <c r="I21" s="3" t="inlineStr">
        <is>
          <t/>
        </is>
      </c>
      <c r="J21" s="3" t="inlineStr">
        <is>
          <t/>
        </is>
      </c>
      <c r="K21" s="3" t="inlineStr">
        <is>
          <t/>
        </is>
      </c>
      <c r="L21" s="3" t="inlineStr">
        <is>
          <t/>
        </is>
      </c>
      <c r="M21" s="3" t="inlineStr">
        <is>
          <t/>
        </is>
      </c>
      <c r="N21" s="3" t="inlineStr">
        <is>
          <t/>
        </is>
      </c>
      <c r="O21" s="3" t="inlineStr">
        <is>
          <t/>
        </is>
      </c>
      <c r="P21" s="3" t="inlineStr">
        <is>
          <t/>
        </is>
      </c>
      <c r="Q21" s="3" t="inlineStr">
        <is>
          <t/>
        </is>
      </c>
      <c r="R21" s="3" t="inlineStr">
        <is>
          <t/>
        </is>
      </c>
      <c r="S21" s="3" t="inlineStr">
        <is>
          <t/>
        </is>
      </c>
      <c r="T21" s="3" t="inlineStr">
        <is>
          <t/>
        </is>
      </c>
      <c r="U21" s="3" t="inlineStr">
        <is>
          <t/>
        </is>
      </c>
      <c r="V21" s="3" t="inlineStr">
        <is>
          <t/>
        </is>
      </c>
      <c r="W21" s="3" t="inlineStr">
        <is>
          <t/>
        </is>
      </c>
      <c r="X21" s="3" t="inlineStr">
        <is>
          <t/>
        </is>
      </c>
      <c r="Y21" s="3" t="inlineStr">
        <is>
          <t/>
        </is>
      </c>
      <c r="Z21" s="3" t="inlineStr">
        <is>
          <t/>
        </is>
      </c>
      <c r="[21" s="3" t="inlineStr">
        <is>
          <t/>
        </is>
      </c>
      <c r="\21" s="3" t="inlineStr">
        <is>
          <t/>
        </is>
      </c>
      <c r="]21" s="3" t="inlineStr">
        <is>
          <t/>
        </is>
      </c>
      <c r="^21" s="3" t="inlineStr">
        <is>
          <t/>
        </is>
      </c>
      <c r="_21" s="3" t="inlineStr">
        <is>
          <t/>
        </is>
      </c>
      <c r="`21" s="3" t="inlineStr">
        <is>
          <t/>
        </is>
      </c>
      <c r="AG21" s="3" t="inlineStr">
        <is>
          <t>=SUM(B21:AF21)</t>
        </is>
      </c>
      <c r="AH21" s="3" t="inlineStr">
        <is>
          <t>=AG21/8</t>
        </is>
      </c>
    </row>
    <row r="22">
      <c r="A22" t="inlineStr">
        <is>
          <t>=IF('Punonjësit'!A22="","",'Punonjësit'!A22)</t>
        </is>
      </c>
      <c r="B22" s="3" t="inlineStr">
        <is>
          <t/>
        </is>
      </c>
      <c r="C22" s="3" t="inlineStr">
        <is>
          <t/>
        </is>
      </c>
      <c r="D22" s="3" t="inlineStr">
        <is>
          <t/>
        </is>
      </c>
      <c r="E22" s="3" t="inlineStr">
        <is>
          <t/>
        </is>
      </c>
      <c r="F22" s="3" t="inlineStr">
        <is>
          <t/>
        </is>
      </c>
      <c r="G22" s="3" t="inlineStr">
        <is>
          <t/>
        </is>
      </c>
      <c r="H22" s="3" t="inlineStr">
        <is>
          <t/>
        </is>
      </c>
      <c r="I22" s="3" t="inlineStr">
        <is>
          <t/>
        </is>
      </c>
      <c r="J22" s="3" t="inlineStr">
        <is>
          <t/>
        </is>
      </c>
      <c r="K22" s="3" t="inlineStr">
        <is>
          <t/>
        </is>
      </c>
      <c r="L22" s="3" t="inlineStr">
        <is>
          <t/>
        </is>
      </c>
      <c r="M22" s="3" t="inlineStr">
        <is>
          <t/>
        </is>
      </c>
      <c r="N22" s="3" t="inlineStr">
        <is>
          <t/>
        </is>
      </c>
      <c r="O22" s="3" t="inlineStr">
        <is>
          <t/>
        </is>
      </c>
      <c r="P22" s="3" t="inlineStr">
        <is>
          <t/>
        </is>
      </c>
      <c r="Q22" s="3" t="inlineStr">
        <is>
          <t/>
        </is>
      </c>
      <c r="R22" s="3" t="inlineStr">
        <is>
          <t/>
        </is>
      </c>
      <c r="S22" s="3" t="inlineStr">
        <is>
          <t/>
        </is>
      </c>
      <c r="T22" s="3" t="inlineStr">
        <is>
          <t/>
        </is>
      </c>
      <c r="U22" s="3" t="inlineStr">
        <is>
          <t/>
        </is>
      </c>
      <c r="V22" s="3" t="inlineStr">
        <is>
          <t/>
        </is>
      </c>
      <c r="W22" s="3" t="inlineStr">
        <is>
          <t/>
        </is>
      </c>
      <c r="X22" s="3" t="inlineStr">
        <is>
          <t/>
        </is>
      </c>
      <c r="Y22" s="3" t="inlineStr">
        <is>
          <t/>
        </is>
      </c>
      <c r="Z22" s="3" t="inlineStr">
        <is>
          <t/>
        </is>
      </c>
      <c r="[22" s="3" t="inlineStr">
        <is>
          <t/>
        </is>
      </c>
      <c r="\22" s="3" t="inlineStr">
        <is>
          <t/>
        </is>
      </c>
      <c r="]22" s="3" t="inlineStr">
        <is>
          <t/>
        </is>
      </c>
      <c r="^22" s="3" t="inlineStr">
        <is>
          <t/>
        </is>
      </c>
      <c r="_22" s="3" t="inlineStr">
        <is>
          <t/>
        </is>
      </c>
      <c r="`22" s="3" t="inlineStr">
        <is>
          <t/>
        </is>
      </c>
      <c r="AG22" s="3" t="inlineStr">
        <is>
          <t>=SUM(B22:AF22)</t>
        </is>
      </c>
      <c r="AH22" s="3" t="inlineStr">
        <is>
          <t>=AG22/8</t>
        </is>
      </c>
    </row>
    <row r="23">
      <c r="A23" t="inlineStr">
        <is>
          <t>=IF('Punonjësit'!A23="","",'Punonjësit'!A23)</t>
        </is>
      </c>
      <c r="B23" s="3" t="inlineStr">
        <is>
          <t/>
        </is>
      </c>
      <c r="C23" s="3" t="inlineStr">
        <is>
          <t/>
        </is>
      </c>
      <c r="D23" s="3" t="inlineStr">
        <is>
          <t/>
        </is>
      </c>
      <c r="E23" s="3" t="inlineStr">
        <is>
          <t/>
        </is>
      </c>
      <c r="F23" s="3" t="inlineStr">
        <is>
          <t/>
        </is>
      </c>
      <c r="G23" s="3" t="inlineStr">
        <is>
          <t/>
        </is>
      </c>
      <c r="H23" s="3" t="inlineStr">
        <is>
          <t/>
        </is>
      </c>
      <c r="I23" s="3" t="inlineStr">
        <is>
          <t/>
        </is>
      </c>
      <c r="J23" s="3" t="inlineStr">
        <is>
          <t/>
        </is>
      </c>
      <c r="K23" s="3" t="inlineStr">
        <is>
          <t/>
        </is>
      </c>
      <c r="L23" s="3" t="inlineStr">
        <is>
          <t/>
        </is>
      </c>
      <c r="M23" s="3" t="inlineStr">
        <is>
          <t/>
        </is>
      </c>
      <c r="N23" s="3" t="inlineStr">
        <is>
          <t/>
        </is>
      </c>
      <c r="O23" s="3" t="inlineStr">
        <is>
          <t/>
        </is>
      </c>
      <c r="P23" s="3" t="inlineStr">
        <is>
          <t/>
        </is>
      </c>
      <c r="Q23" s="3" t="inlineStr">
        <is>
          <t/>
        </is>
      </c>
      <c r="R23" s="3" t="inlineStr">
        <is>
          <t/>
        </is>
      </c>
      <c r="S23" s="3" t="inlineStr">
        <is>
          <t/>
        </is>
      </c>
      <c r="T23" s="3" t="inlineStr">
        <is>
          <t/>
        </is>
      </c>
      <c r="U23" s="3" t="inlineStr">
        <is>
          <t/>
        </is>
      </c>
      <c r="V23" s="3" t="inlineStr">
        <is>
          <t/>
        </is>
      </c>
      <c r="W23" s="3" t="inlineStr">
        <is>
          <t/>
        </is>
      </c>
      <c r="X23" s="3" t="inlineStr">
        <is>
          <t/>
        </is>
      </c>
      <c r="Y23" s="3" t="inlineStr">
        <is>
          <t/>
        </is>
      </c>
      <c r="Z23" s="3" t="inlineStr">
        <is>
          <t/>
        </is>
      </c>
      <c r="[23" s="3" t="inlineStr">
        <is>
          <t/>
        </is>
      </c>
      <c r="\23" s="3" t="inlineStr">
        <is>
          <t/>
        </is>
      </c>
      <c r="]23" s="3" t="inlineStr">
        <is>
          <t/>
        </is>
      </c>
      <c r="^23" s="3" t="inlineStr">
        <is>
          <t/>
        </is>
      </c>
      <c r="_23" s="3" t="inlineStr">
        <is>
          <t/>
        </is>
      </c>
      <c r="`23" s="3" t="inlineStr">
        <is>
          <t/>
        </is>
      </c>
      <c r="AG23" s="3" t="inlineStr">
        <is>
          <t>=SUM(B23:AF23)</t>
        </is>
      </c>
      <c r="AH23" s="3" t="inlineStr">
        <is>
          <t>=AG23/8</t>
        </is>
      </c>
    </row>
    <row r="24">
      <c r="A24" t="inlineStr">
        <is>
          <t>=IF('Punonjësit'!A24="","",'Punonjësit'!A24)</t>
        </is>
      </c>
      <c r="B24" s="3" t="inlineStr">
        <is>
          <t/>
        </is>
      </c>
      <c r="C24" s="3" t="inlineStr">
        <is>
          <t/>
        </is>
      </c>
      <c r="D24" s="3" t="inlineStr">
        <is>
          <t/>
        </is>
      </c>
      <c r="E24" s="3" t="inlineStr">
        <is>
          <t/>
        </is>
      </c>
      <c r="F24" s="3" t="inlineStr">
        <is>
          <t/>
        </is>
      </c>
      <c r="G24" s="3" t="inlineStr">
        <is>
          <t/>
        </is>
      </c>
      <c r="H24" s="3" t="inlineStr">
        <is>
          <t/>
        </is>
      </c>
      <c r="I24" s="3" t="inlineStr">
        <is>
          <t/>
        </is>
      </c>
      <c r="J24" s="3" t="inlineStr">
        <is>
          <t/>
        </is>
      </c>
      <c r="K24" s="3" t="inlineStr">
        <is>
          <t/>
        </is>
      </c>
      <c r="L24" s="3" t="inlineStr">
        <is>
          <t/>
        </is>
      </c>
      <c r="M24" s="3" t="inlineStr">
        <is>
          <t/>
        </is>
      </c>
      <c r="N24" s="3" t="inlineStr">
        <is>
          <t/>
        </is>
      </c>
      <c r="O24" s="3" t="inlineStr">
        <is>
          <t/>
        </is>
      </c>
      <c r="P24" s="3" t="inlineStr">
        <is>
          <t/>
        </is>
      </c>
      <c r="Q24" s="3" t="inlineStr">
        <is>
          <t/>
        </is>
      </c>
      <c r="R24" s="3" t="inlineStr">
        <is>
          <t/>
        </is>
      </c>
      <c r="S24" s="3" t="inlineStr">
        <is>
          <t/>
        </is>
      </c>
      <c r="T24" s="3" t="inlineStr">
        <is>
          <t/>
        </is>
      </c>
      <c r="U24" s="3" t="inlineStr">
        <is>
          <t/>
        </is>
      </c>
      <c r="V24" s="3" t="inlineStr">
        <is>
          <t/>
        </is>
      </c>
      <c r="W24" s="3" t="inlineStr">
        <is>
          <t/>
        </is>
      </c>
      <c r="X24" s="3" t="inlineStr">
        <is>
          <t/>
        </is>
      </c>
      <c r="Y24" s="3" t="inlineStr">
        <is>
          <t/>
        </is>
      </c>
      <c r="Z24" s="3" t="inlineStr">
        <is>
          <t/>
        </is>
      </c>
      <c r="[24" s="3" t="inlineStr">
        <is>
          <t/>
        </is>
      </c>
      <c r="\24" s="3" t="inlineStr">
        <is>
          <t/>
        </is>
      </c>
      <c r="]24" s="3" t="inlineStr">
        <is>
          <t/>
        </is>
      </c>
      <c r="^24" s="3" t="inlineStr">
        <is>
          <t/>
        </is>
      </c>
      <c r="_24" s="3" t="inlineStr">
        <is>
          <t/>
        </is>
      </c>
      <c r="`24" s="3" t="inlineStr">
        <is>
          <t/>
        </is>
      </c>
      <c r="AG24" s="3" t="inlineStr">
        <is>
          <t>=SUM(B24:AF24)</t>
        </is>
      </c>
      <c r="AH24" s="3" t="inlineStr">
        <is>
          <t>=AG24/8</t>
        </is>
      </c>
    </row>
    <row r="25">
      <c r="A25" t="inlineStr">
        <is>
          <t>=IF('Punonjësit'!A25="","",'Punonjësit'!A25)</t>
        </is>
      </c>
      <c r="B25" s="3" t="inlineStr">
        <is>
          <t/>
        </is>
      </c>
      <c r="C25" s="3" t="inlineStr">
        <is>
          <t/>
        </is>
      </c>
      <c r="D25" s="3" t="inlineStr">
        <is>
          <t/>
        </is>
      </c>
      <c r="E25" s="3" t="inlineStr">
        <is>
          <t/>
        </is>
      </c>
      <c r="F25" s="3" t="inlineStr">
        <is>
          <t/>
        </is>
      </c>
      <c r="G25" s="3" t="inlineStr">
        <is>
          <t/>
        </is>
      </c>
      <c r="H25" s="3" t="inlineStr">
        <is>
          <t/>
        </is>
      </c>
      <c r="I25" s="3" t="inlineStr">
        <is>
          <t/>
        </is>
      </c>
      <c r="J25" s="3" t="inlineStr">
        <is>
          <t/>
        </is>
      </c>
      <c r="K25" s="3" t="inlineStr">
        <is>
          <t/>
        </is>
      </c>
      <c r="L25" s="3" t="inlineStr">
        <is>
          <t/>
        </is>
      </c>
      <c r="M25" s="3" t="inlineStr">
        <is>
          <t/>
        </is>
      </c>
      <c r="N25" s="3" t="inlineStr">
        <is>
          <t/>
        </is>
      </c>
      <c r="O25" s="3" t="inlineStr">
        <is>
          <t/>
        </is>
      </c>
      <c r="P25" s="3" t="inlineStr">
        <is>
          <t/>
        </is>
      </c>
      <c r="Q25" s="3" t="inlineStr">
        <is>
          <t/>
        </is>
      </c>
      <c r="R25" s="3" t="inlineStr">
        <is>
          <t/>
        </is>
      </c>
      <c r="S25" s="3" t="inlineStr">
        <is>
          <t/>
        </is>
      </c>
      <c r="T25" s="3" t="inlineStr">
        <is>
          <t/>
        </is>
      </c>
      <c r="U25" s="3" t="inlineStr">
        <is>
          <t/>
        </is>
      </c>
      <c r="V25" s="3" t="inlineStr">
        <is>
          <t/>
        </is>
      </c>
      <c r="W25" s="3" t="inlineStr">
        <is>
          <t/>
        </is>
      </c>
      <c r="X25" s="3" t="inlineStr">
        <is>
          <t/>
        </is>
      </c>
      <c r="Y25" s="3" t="inlineStr">
        <is>
          <t/>
        </is>
      </c>
      <c r="Z25" s="3" t="inlineStr">
        <is>
          <t/>
        </is>
      </c>
      <c r="[25" s="3" t="inlineStr">
        <is>
          <t/>
        </is>
      </c>
      <c r="\25" s="3" t="inlineStr">
        <is>
          <t/>
        </is>
      </c>
      <c r="]25" s="3" t="inlineStr">
        <is>
          <t/>
        </is>
      </c>
      <c r="^25" s="3" t="inlineStr">
        <is>
          <t/>
        </is>
      </c>
      <c r="_25" s="3" t="inlineStr">
        <is>
          <t/>
        </is>
      </c>
      <c r="`25" s="3" t="inlineStr">
        <is>
          <t/>
        </is>
      </c>
      <c r="AG25" s="3" t="inlineStr">
        <is>
          <t>=SUM(B25:AF25)</t>
        </is>
      </c>
      <c r="AH25" s="3" t="inlineStr">
        <is>
          <t>=AG25/8</t>
        </is>
      </c>
    </row>
    <row r="26">
      <c r="A26" t="inlineStr">
        <is>
          <t>=IF('Punonjësit'!A26="","",'Punonjësit'!A26)</t>
        </is>
      </c>
      <c r="B26" s="3" t="inlineStr">
        <is>
          <t/>
        </is>
      </c>
      <c r="C26" s="3" t="inlineStr">
        <is>
          <t/>
        </is>
      </c>
      <c r="D26" s="3" t="inlineStr">
        <is>
          <t/>
        </is>
      </c>
      <c r="E26" s="3" t="inlineStr">
        <is>
          <t/>
        </is>
      </c>
      <c r="F26" s="3" t="inlineStr">
        <is>
          <t/>
        </is>
      </c>
      <c r="G26" s="3" t="inlineStr">
        <is>
          <t/>
        </is>
      </c>
      <c r="H26" s="3" t="inlineStr">
        <is>
          <t/>
        </is>
      </c>
      <c r="I26" s="3" t="inlineStr">
        <is>
          <t/>
        </is>
      </c>
      <c r="J26" s="3" t="inlineStr">
        <is>
          <t/>
        </is>
      </c>
      <c r="K26" s="3" t="inlineStr">
        <is>
          <t/>
        </is>
      </c>
      <c r="L26" s="3" t="inlineStr">
        <is>
          <t/>
        </is>
      </c>
      <c r="M26" s="3" t="inlineStr">
        <is>
          <t/>
        </is>
      </c>
      <c r="N26" s="3" t="inlineStr">
        <is>
          <t/>
        </is>
      </c>
      <c r="O26" s="3" t="inlineStr">
        <is>
          <t/>
        </is>
      </c>
      <c r="P26" s="3" t="inlineStr">
        <is>
          <t/>
        </is>
      </c>
      <c r="Q26" s="3" t="inlineStr">
        <is>
          <t/>
        </is>
      </c>
      <c r="R26" s="3" t="inlineStr">
        <is>
          <t/>
        </is>
      </c>
      <c r="S26" s="3" t="inlineStr">
        <is>
          <t/>
        </is>
      </c>
      <c r="T26" s="3" t="inlineStr">
        <is>
          <t/>
        </is>
      </c>
      <c r="U26" s="3" t="inlineStr">
        <is>
          <t/>
        </is>
      </c>
      <c r="V26" s="3" t="inlineStr">
        <is>
          <t/>
        </is>
      </c>
      <c r="W26" s="3" t="inlineStr">
        <is>
          <t/>
        </is>
      </c>
      <c r="X26" s="3" t="inlineStr">
        <is>
          <t/>
        </is>
      </c>
      <c r="Y26" s="3" t="inlineStr">
        <is>
          <t/>
        </is>
      </c>
      <c r="Z26" s="3" t="inlineStr">
        <is>
          <t/>
        </is>
      </c>
      <c r="[26" s="3" t="inlineStr">
        <is>
          <t/>
        </is>
      </c>
      <c r="\26" s="3" t="inlineStr">
        <is>
          <t/>
        </is>
      </c>
      <c r="]26" s="3" t="inlineStr">
        <is>
          <t/>
        </is>
      </c>
      <c r="^26" s="3" t="inlineStr">
        <is>
          <t/>
        </is>
      </c>
      <c r="_26" s="3" t="inlineStr">
        <is>
          <t/>
        </is>
      </c>
      <c r="`26" s="3" t="inlineStr">
        <is>
          <t/>
        </is>
      </c>
      <c r="AG26" s="3" t="inlineStr">
        <is>
          <t>=SUM(B26:AF26)</t>
        </is>
      </c>
      <c r="AH26" s="3" t="inlineStr">
        <is>
          <t>=AG26/8</t>
        </is>
      </c>
    </row>
    <row r="27">
      <c r="A27" t="inlineStr">
        <is>
          <t>=IF('Punonjësit'!A27="","",'Punonjësit'!A27)</t>
        </is>
      </c>
      <c r="B27" s="3" t="inlineStr">
        <is>
          <t/>
        </is>
      </c>
      <c r="C27" s="3" t="inlineStr">
        <is>
          <t/>
        </is>
      </c>
      <c r="D27" s="3" t="inlineStr">
        <is>
          <t/>
        </is>
      </c>
      <c r="E27" s="3" t="inlineStr">
        <is>
          <t/>
        </is>
      </c>
      <c r="F27" s="3" t="inlineStr">
        <is>
          <t/>
        </is>
      </c>
      <c r="G27" s="3" t="inlineStr">
        <is>
          <t/>
        </is>
      </c>
      <c r="H27" s="3" t="inlineStr">
        <is>
          <t/>
        </is>
      </c>
      <c r="I27" s="3" t="inlineStr">
        <is>
          <t/>
        </is>
      </c>
      <c r="J27" s="3" t="inlineStr">
        <is>
          <t/>
        </is>
      </c>
      <c r="K27" s="3" t="inlineStr">
        <is>
          <t/>
        </is>
      </c>
      <c r="L27" s="3" t="inlineStr">
        <is>
          <t/>
        </is>
      </c>
      <c r="M27" s="3" t="inlineStr">
        <is>
          <t/>
        </is>
      </c>
      <c r="N27" s="3" t="inlineStr">
        <is>
          <t/>
        </is>
      </c>
      <c r="O27" s="3" t="inlineStr">
        <is>
          <t/>
        </is>
      </c>
      <c r="P27" s="3" t="inlineStr">
        <is>
          <t/>
        </is>
      </c>
      <c r="Q27" s="3" t="inlineStr">
        <is>
          <t/>
        </is>
      </c>
      <c r="R27" s="3" t="inlineStr">
        <is>
          <t/>
        </is>
      </c>
      <c r="S27" s="3" t="inlineStr">
        <is>
          <t/>
        </is>
      </c>
      <c r="T27" s="3" t="inlineStr">
        <is>
          <t/>
        </is>
      </c>
      <c r="U27" s="3" t="inlineStr">
        <is>
          <t/>
        </is>
      </c>
      <c r="V27" s="3" t="inlineStr">
        <is>
          <t/>
        </is>
      </c>
      <c r="W27" s="3" t="inlineStr">
        <is>
          <t/>
        </is>
      </c>
      <c r="X27" s="3" t="inlineStr">
        <is>
          <t/>
        </is>
      </c>
      <c r="Y27" s="3" t="inlineStr">
        <is>
          <t/>
        </is>
      </c>
      <c r="Z27" s="3" t="inlineStr">
        <is>
          <t/>
        </is>
      </c>
      <c r="[27" s="3" t="inlineStr">
        <is>
          <t/>
        </is>
      </c>
      <c r="\27" s="3" t="inlineStr">
        <is>
          <t/>
        </is>
      </c>
      <c r="]27" s="3" t="inlineStr">
        <is>
          <t/>
        </is>
      </c>
      <c r="^27" s="3" t="inlineStr">
        <is>
          <t/>
        </is>
      </c>
      <c r="_27" s="3" t="inlineStr">
        <is>
          <t/>
        </is>
      </c>
      <c r="`27" s="3" t="inlineStr">
        <is>
          <t/>
        </is>
      </c>
      <c r="AG27" s="3" t="inlineStr">
        <is>
          <t>=SUM(B27:AF27)</t>
        </is>
      </c>
      <c r="AH27" s="3" t="inlineStr">
        <is>
          <t>=AG27/8</t>
        </is>
      </c>
    </row>
    <row r="28">
      <c r="A28" t="inlineStr">
        <is>
          <t>=IF('Punonjësit'!A28="","",'Punonjësit'!A28)</t>
        </is>
      </c>
      <c r="B28" s="3" t="inlineStr">
        <is>
          <t/>
        </is>
      </c>
      <c r="C28" s="3" t="inlineStr">
        <is>
          <t/>
        </is>
      </c>
      <c r="D28" s="3" t="inlineStr">
        <is>
          <t/>
        </is>
      </c>
      <c r="E28" s="3" t="inlineStr">
        <is>
          <t/>
        </is>
      </c>
      <c r="F28" s="3" t="inlineStr">
        <is>
          <t/>
        </is>
      </c>
      <c r="G28" s="3" t="inlineStr">
        <is>
          <t/>
        </is>
      </c>
      <c r="H28" s="3" t="inlineStr">
        <is>
          <t/>
        </is>
      </c>
      <c r="I28" s="3" t="inlineStr">
        <is>
          <t/>
        </is>
      </c>
      <c r="J28" s="3" t="inlineStr">
        <is>
          <t/>
        </is>
      </c>
      <c r="K28" s="3" t="inlineStr">
        <is>
          <t/>
        </is>
      </c>
      <c r="L28" s="3" t="inlineStr">
        <is>
          <t/>
        </is>
      </c>
      <c r="M28" s="3" t="inlineStr">
        <is>
          <t/>
        </is>
      </c>
      <c r="N28" s="3" t="inlineStr">
        <is>
          <t/>
        </is>
      </c>
      <c r="O28" s="3" t="inlineStr">
        <is>
          <t/>
        </is>
      </c>
      <c r="P28" s="3" t="inlineStr">
        <is>
          <t/>
        </is>
      </c>
      <c r="Q28" s="3" t="inlineStr">
        <is>
          <t/>
        </is>
      </c>
      <c r="R28" s="3" t="inlineStr">
        <is>
          <t/>
        </is>
      </c>
      <c r="S28" s="3" t="inlineStr">
        <is>
          <t/>
        </is>
      </c>
      <c r="T28" s="3" t="inlineStr">
        <is>
          <t/>
        </is>
      </c>
      <c r="U28" s="3" t="inlineStr">
        <is>
          <t/>
        </is>
      </c>
      <c r="V28" s="3" t="inlineStr">
        <is>
          <t/>
        </is>
      </c>
      <c r="W28" s="3" t="inlineStr">
        <is>
          <t/>
        </is>
      </c>
      <c r="X28" s="3" t="inlineStr">
        <is>
          <t/>
        </is>
      </c>
      <c r="Y28" s="3" t="inlineStr">
        <is>
          <t/>
        </is>
      </c>
      <c r="Z28" s="3" t="inlineStr">
        <is>
          <t/>
        </is>
      </c>
      <c r="[28" s="3" t="inlineStr">
        <is>
          <t/>
        </is>
      </c>
      <c r="\28" s="3" t="inlineStr">
        <is>
          <t/>
        </is>
      </c>
      <c r="]28" s="3" t="inlineStr">
        <is>
          <t/>
        </is>
      </c>
      <c r="^28" s="3" t="inlineStr">
        <is>
          <t/>
        </is>
      </c>
      <c r="_28" s="3" t="inlineStr">
        <is>
          <t/>
        </is>
      </c>
      <c r="`28" s="3" t="inlineStr">
        <is>
          <t/>
        </is>
      </c>
      <c r="AG28" s="3" t="inlineStr">
        <is>
          <t>=SUM(B28:AF28)</t>
        </is>
      </c>
      <c r="AH28" s="3" t="inlineStr">
        <is>
          <t>=AG28/8</t>
        </is>
      </c>
    </row>
    <row r="29">
      <c r="A29" t="inlineStr">
        <is>
          <t>=IF('Punonjësit'!A29="","",'Punonjësit'!A29)</t>
        </is>
      </c>
      <c r="B29" s="3" t="inlineStr">
        <is>
          <t/>
        </is>
      </c>
      <c r="C29" s="3" t="inlineStr">
        <is>
          <t/>
        </is>
      </c>
      <c r="D29" s="3" t="inlineStr">
        <is>
          <t/>
        </is>
      </c>
      <c r="E29" s="3" t="inlineStr">
        <is>
          <t/>
        </is>
      </c>
      <c r="F29" s="3" t="inlineStr">
        <is>
          <t/>
        </is>
      </c>
      <c r="G29" s="3" t="inlineStr">
        <is>
          <t/>
        </is>
      </c>
      <c r="H29" s="3" t="inlineStr">
        <is>
          <t/>
        </is>
      </c>
      <c r="I29" s="3" t="inlineStr">
        <is>
          <t/>
        </is>
      </c>
      <c r="J29" s="3" t="inlineStr">
        <is>
          <t/>
        </is>
      </c>
      <c r="K29" s="3" t="inlineStr">
        <is>
          <t/>
        </is>
      </c>
      <c r="L29" s="3" t="inlineStr">
        <is>
          <t/>
        </is>
      </c>
      <c r="M29" s="3" t="inlineStr">
        <is>
          <t/>
        </is>
      </c>
      <c r="N29" s="3" t="inlineStr">
        <is>
          <t/>
        </is>
      </c>
      <c r="O29" s="3" t="inlineStr">
        <is>
          <t/>
        </is>
      </c>
      <c r="P29" s="3" t="inlineStr">
        <is>
          <t/>
        </is>
      </c>
      <c r="Q29" s="3" t="inlineStr">
        <is>
          <t/>
        </is>
      </c>
      <c r="R29" s="3" t="inlineStr">
        <is>
          <t/>
        </is>
      </c>
      <c r="S29" s="3" t="inlineStr">
        <is>
          <t/>
        </is>
      </c>
      <c r="T29" s="3" t="inlineStr">
        <is>
          <t/>
        </is>
      </c>
      <c r="U29" s="3" t="inlineStr">
        <is>
          <t/>
        </is>
      </c>
      <c r="V29" s="3" t="inlineStr">
        <is>
          <t/>
        </is>
      </c>
      <c r="W29" s="3" t="inlineStr">
        <is>
          <t/>
        </is>
      </c>
      <c r="X29" s="3" t="inlineStr">
        <is>
          <t/>
        </is>
      </c>
      <c r="Y29" s="3" t="inlineStr">
        <is>
          <t/>
        </is>
      </c>
      <c r="Z29" s="3" t="inlineStr">
        <is>
          <t/>
        </is>
      </c>
      <c r="[29" s="3" t="inlineStr">
        <is>
          <t/>
        </is>
      </c>
      <c r="\29" s="3" t="inlineStr">
        <is>
          <t/>
        </is>
      </c>
      <c r="]29" s="3" t="inlineStr">
        <is>
          <t/>
        </is>
      </c>
      <c r="^29" s="3" t="inlineStr">
        <is>
          <t/>
        </is>
      </c>
      <c r="_29" s="3" t="inlineStr">
        <is>
          <t/>
        </is>
      </c>
      <c r="`29" s="3" t="inlineStr">
        <is>
          <t/>
        </is>
      </c>
      <c r="AG29" s="3" t="inlineStr">
        <is>
          <t>=SUM(B29:AF29)</t>
        </is>
      </c>
      <c r="AH29" s="3" t="inlineStr">
        <is>
          <t>=AG29/8</t>
        </is>
      </c>
    </row>
    <row r="30">
      <c r="A30" t="inlineStr">
        <is>
          <t>=IF('Punonjësit'!A30="","",'Punonjësit'!A30)</t>
        </is>
      </c>
      <c r="B30" s="3" t="inlineStr">
        <is>
          <t/>
        </is>
      </c>
      <c r="C30" s="3" t="inlineStr">
        <is>
          <t/>
        </is>
      </c>
      <c r="D30" s="3" t="inlineStr">
        <is>
          <t/>
        </is>
      </c>
      <c r="E30" s="3" t="inlineStr">
        <is>
          <t/>
        </is>
      </c>
      <c r="F30" s="3" t="inlineStr">
        <is>
          <t/>
        </is>
      </c>
      <c r="G30" s="3" t="inlineStr">
        <is>
          <t/>
        </is>
      </c>
      <c r="H30" s="3" t="inlineStr">
        <is>
          <t/>
        </is>
      </c>
      <c r="I30" s="3" t="inlineStr">
        <is>
          <t/>
        </is>
      </c>
      <c r="J30" s="3" t="inlineStr">
        <is>
          <t/>
        </is>
      </c>
      <c r="K30" s="3" t="inlineStr">
        <is>
          <t/>
        </is>
      </c>
      <c r="L30" s="3" t="inlineStr">
        <is>
          <t/>
        </is>
      </c>
      <c r="M30" s="3" t="inlineStr">
        <is>
          <t/>
        </is>
      </c>
      <c r="N30" s="3" t="inlineStr">
        <is>
          <t/>
        </is>
      </c>
      <c r="O30" s="3" t="inlineStr">
        <is>
          <t/>
        </is>
      </c>
      <c r="P30" s="3" t="inlineStr">
        <is>
          <t/>
        </is>
      </c>
      <c r="Q30" s="3" t="inlineStr">
        <is>
          <t/>
        </is>
      </c>
      <c r="R30" s="3" t="inlineStr">
        <is>
          <t/>
        </is>
      </c>
      <c r="S30" s="3" t="inlineStr">
        <is>
          <t/>
        </is>
      </c>
      <c r="T30" s="3" t="inlineStr">
        <is>
          <t/>
        </is>
      </c>
      <c r="U30" s="3" t="inlineStr">
        <is>
          <t/>
        </is>
      </c>
      <c r="V30" s="3" t="inlineStr">
        <is>
          <t/>
        </is>
      </c>
      <c r="W30" s="3" t="inlineStr">
        <is>
          <t/>
        </is>
      </c>
      <c r="X30" s="3" t="inlineStr">
        <is>
          <t/>
        </is>
      </c>
      <c r="Y30" s="3" t="inlineStr">
        <is>
          <t/>
        </is>
      </c>
      <c r="Z30" s="3" t="inlineStr">
        <is>
          <t/>
        </is>
      </c>
      <c r="[30" s="3" t="inlineStr">
        <is>
          <t/>
        </is>
      </c>
      <c r="\30" s="3" t="inlineStr">
        <is>
          <t/>
        </is>
      </c>
      <c r="]30" s="3" t="inlineStr">
        <is>
          <t/>
        </is>
      </c>
      <c r="^30" s="3" t="inlineStr">
        <is>
          <t/>
        </is>
      </c>
      <c r="_30" s="3" t="inlineStr">
        <is>
          <t/>
        </is>
      </c>
      <c r="`30" s="3" t="inlineStr">
        <is>
          <t/>
        </is>
      </c>
      <c r="AG30" s="3" t="inlineStr">
        <is>
          <t>=SUM(B30:AF30)</t>
        </is>
      </c>
      <c r="AH30" s="3" t="inlineStr">
        <is>
          <t>=AG30/8</t>
        </is>
      </c>
    </row>
    <row r="31">
      <c r="A31" t="inlineStr">
        <is>
          <t>=IF('Punonjësit'!A31="","",'Punonjësit'!A31)</t>
        </is>
      </c>
      <c r="B31" s="3" t="inlineStr">
        <is>
          <t/>
        </is>
      </c>
      <c r="C31" s="3" t="inlineStr">
        <is>
          <t/>
        </is>
      </c>
      <c r="D31" s="3" t="inlineStr">
        <is>
          <t/>
        </is>
      </c>
      <c r="E31" s="3" t="inlineStr">
        <is>
          <t/>
        </is>
      </c>
      <c r="F31" s="3" t="inlineStr">
        <is>
          <t/>
        </is>
      </c>
      <c r="G31" s="3" t="inlineStr">
        <is>
          <t/>
        </is>
      </c>
      <c r="H31" s="3" t="inlineStr">
        <is>
          <t/>
        </is>
      </c>
      <c r="I31" s="3" t="inlineStr">
        <is>
          <t/>
        </is>
      </c>
      <c r="J31" s="3" t="inlineStr">
        <is>
          <t/>
        </is>
      </c>
      <c r="K31" s="3" t="inlineStr">
        <is>
          <t/>
        </is>
      </c>
      <c r="L31" s="3" t="inlineStr">
        <is>
          <t/>
        </is>
      </c>
      <c r="M31" s="3" t="inlineStr">
        <is>
          <t/>
        </is>
      </c>
      <c r="N31" s="3" t="inlineStr">
        <is>
          <t/>
        </is>
      </c>
      <c r="O31" s="3" t="inlineStr">
        <is>
          <t/>
        </is>
      </c>
      <c r="P31" s="3" t="inlineStr">
        <is>
          <t/>
        </is>
      </c>
      <c r="Q31" s="3" t="inlineStr">
        <is>
          <t/>
        </is>
      </c>
      <c r="R31" s="3" t="inlineStr">
        <is>
          <t/>
        </is>
      </c>
      <c r="S31" s="3" t="inlineStr">
        <is>
          <t/>
        </is>
      </c>
      <c r="T31" s="3" t="inlineStr">
        <is>
          <t/>
        </is>
      </c>
      <c r="U31" s="3" t="inlineStr">
        <is>
          <t/>
        </is>
      </c>
      <c r="V31" s="3" t="inlineStr">
        <is>
          <t/>
        </is>
      </c>
      <c r="W31" s="3" t="inlineStr">
        <is>
          <t/>
        </is>
      </c>
      <c r="X31" s="3" t="inlineStr">
        <is>
          <t/>
        </is>
      </c>
      <c r="Y31" s="3" t="inlineStr">
        <is>
          <t/>
        </is>
      </c>
      <c r="Z31" s="3" t="inlineStr">
        <is>
          <t/>
        </is>
      </c>
      <c r="[31" s="3" t="inlineStr">
        <is>
          <t/>
        </is>
      </c>
      <c r="\31" s="3" t="inlineStr">
        <is>
          <t/>
        </is>
      </c>
      <c r="]31" s="3" t="inlineStr">
        <is>
          <t/>
        </is>
      </c>
      <c r="^31" s="3" t="inlineStr">
        <is>
          <t/>
        </is>
      </c>
      <c r="_31" s="3" t="inlineStr">
        <is>
          <t/>
        </is>
      </c>
      <c r="`31" s="3" t="inlineStr">
        <is>
          <t/>
        </is>
      </c>
      <c r="AG31" s="3" t="inlineStr">
        <is>
          <t>=SUM(B31:AF31)</t>
        </is>
      </c>
      <c r="AH31" s="3" t="inlineStr">
        <is>
          <t>=AG31/8</t>
        </is>
      </c>
    </row>
    <row r="32">
      <c r="A32" t="inlineStr">
        <is>
          <t>=IF('Punonjësit'!A32="","",'Punonjësit'!A32)</t>
        </is>
      </c>
      <c r="B32" s="3" t="inlineStr">
        <is>
          <t/>
        </is>
      </c>
      <c r="C32" s="3" t="inlineStr">
        <is>
          <t/>
        </is>
      </c>
      <c r="D32" s="3" t="inlineStr">
        <is>
          <t/>
        </is>
      </c>
      <c r="E32" s="3" t="inlineStr">
        <is>
          <t/>
        </is>
      </c>
      <c r="F32" s="3" t="inlineStr">
        <is>
          <t/>
        </is>
      </c>
      <c r="G32" s="3" t="inlineStr">
        <is>
          <t/>
        </is>
      </c>
      <c r="H32" s="3" t="inlineStr">
        <is>
          <t/>
        </is>
      </c>
      <c r="I32" s="3" t="inlineStr">
        <is>
          <t/>
        </is>
      </c>
      <c r="J32" s="3" t="inlineStr">
        <is>
          <t/>
        </is>
      </c>
      <c r="K32" s="3" t="inlineStr">
        <is>
          <t/>
        </is>
      </c>
      <c r="L32" s="3" t="inlineStr">
        <is>
          <t/>
        </is>
      </c>
      <c r="M32" s="3" t="inlineStr">
        <is>
          <t/>
        </is>
      </c>
      <c r="N32" s="3" t="inlineStr">
        <is>
          <t/>
        </is>
      </c>
      <c r="O32" s="3" t="inlineStr">
        <is>
          <t/>
        </is>
      </c>
      <c r="P32" s="3" t="inlineStr">
        <is>
          <t/>
        </is>
      </c>
      <c r="Q32" s="3" t="inlineStr">
        <is>
          <t/>
        </is>
      </c>
      <c r="R32" s="3" t="inlineStr">
        <is>
          <t/>
        </is>
      </c>
      <c r="S32" s="3" t="inlineStr">
        <is>
          <t/>
        </is>
      </c>
      <c r="T32" s="3" t="inlineStr">
        <is>
          <t/>
        </is>
      </c>
      <c r="U32" s="3" t="inlineStr">
        <is>
          <t/>
        </is>
      </c>
      <c r="V32" s="3" t="inlineStr">
        <is>
          <t/>
        </is>
      </c>
      <c r="W32" s="3" t="inlineStr">
        <is>
          <t/>
        </is>
      </c>
      <c r="X32" s="3" t="inlineStr">
        <is>
          <t/>
        </is>
      </c>
      <c r="Y32" s="3" t="inlineStr">
        <is>
          <t/>
        </is>
      </c>
      <c r="Z32" s="3" t="inlineStr">
        <is>
          <t/>
        </is>
      </c>
      <c r="[32" s="3" t="inlineStr">
        <is>
          <t/>
        </is>
      </c>
      <c r="\32" s="3" t="inlineStr">
        <is>
          <t/>
        </is>
      </c>
      <c r="]32" s="3" t="inlineStr">
        <is>
          <t/>
        </is>
      </c>
      <c r="^32" s="3" t="inlineStr">
        <is>
          <t/>
        </is>
      </c>
      <c r="_32" s="3" t="inlineStr">
        <is>
          <t/>
        </is>
      </c>
      <c r="`32" s="3" t="inlineStr">
        <is>
          <t/>
        </is>
      </c>
      <c r="AG32" s="3" t="inlineStr">
        <is>
          <t>=SUM(B32:AF32)</t>
        </is>
      </c>
      <c r="AH32" s="3" t="inlineStr">
        <is>
          <t>=AG32/8</t>
        </is>
      </c>
    </row>
    <row r="33">
      <c r="A33" t="inlineStr">
        <is>
          <t>=IF('Punonjësit'!A33="","",'Punonjësit'!A33)</t>
        </is>
      </c>
      <c r="B33" s="3" t="inlineStr">
        <is>
          <t/>
        </is>
      </c>
      <c r="C33" s="3" t="inlineStr">
        <is>
          <t/>
        </is>
      </c>
      <c r="D33" s="3" t="inlineStr">
        <is>
          <t/>
        </is>
      </c>
      <c r="E33" s="3" t="inlineStr">
        <is>
          <t/>
        </is>
      </c>
      <c r="F33" s="3" t="inlineStr">
        <is>
          <t/>
        </is>
      </c>
      <c r="G33" s="3" t="inlineStr">
        <is>
          <t/>
        </is>
      </c>
      <c r="H33" s="3" t="inlineStr">
        <is>
          <t/>
        </is>
      </c>
      <c r="I33" s="3" t="inlineStr">
        <is>
          <t/>
        </is>
      </c>
      <c r="J33" s="3" t="inlineStr">
        <is>
          <t/>
        </is>
      </c>
      <c r="K33" s="3" t="inlineStr">
        <is>
          <t/>
        </is>
      </c>
      <c r="L33" s="3" t="inlineStr">
        <is>
          <t/>
        </is>
      </c>
      <c r="M33" s="3" t="inlineStr">
        <is>
          <t/>
        </is>
      </c>
      <c r="N33" s="3" t="inlineStr">
        <is>
          <t/>
        </is>
      </c>
      <c r="O33" s="3" t="inlineStr">
        <is>
          <t/>
        </is>
      </c>
      <c r="P33" s="3" t="inlineStr">
        <is>
          <t/>
        </is>
      </c>
      <c r="Q33" s="3" t="inlineStr">
        <is>
          <t/>
        </is>
      </c>
      <c r="R33" s="3" t="inlineStr">
        <is>
          <t/>
        </is>
      </c>
      <c r="S33" s="3" t="inlineStr">
        <is>
          <t/>
        </is>
      </c>
      <c r="T33" s="3" t="inlineStr">
        <is>
          <t/>
        </is>
      </c>
      <c r="U33" s="3" t="inlineStr">
        <is>
          <t/>
        </is>
      </c>
      <c r="V33" s="3" t="inlineStr">
        <is>
          <t/>
        </is>
      </c>
      <c r="W33" s="3" t="inlineStr">
        <is>
          <t/>
        </is>
      </c>
      <c r="X33" s="3" t="inlineStr">
        <is>
          <t/>
        </is>
      </c>
      <c r="Y33" s="3" t="inlineStr">
        <is>
          <t/>
        </is>
      </c>
      <c r="Z33" s="3" t="inlineStr">
        <is>
          <t/>
        </is>
      </c>
      <c r="[33" s="3" t="inlineStr">
        <is>
          <t/>
        </is>
      </c>
      <c r="\33" s="3" t="inlineStr">
        <is>
          <t/>
        </is>
      </c>
      <c r="]33" s="3" t="inlineStr">
        <is>
          <t/>
        </is>
      </c>
      <c r="^33" s="3" t="inlineStr">
        <is>
          <t/>
        </is>
      </c>
      <c r="_33" s="3" t="inlineStr">
        <is>
          <t/>
        </is>
      </c>
      <c r="`33" s="3" t="inlineStr">
        <is>
          <t/>
        </is>
      </c>
      <c r="AG33" s="3" t="inlineStr">
        <is>
          <t>=SUM(B33:AF33)</t>
        </is>
      </c>
      <c r="AH33" s="3" t="inlineStr">
        <is>
          <t>=AG33/8</t>
        </is>
      </c>
    </row>
    <row r="34">
      <c r="A34" t="inlineStr">
        <is>
          <t>=IF('Punonjësit'!A34="","",'Punonjësit'!A34)</t>
        </is>
      </c>
      <c r="B34" s="3" t="inlineStr">
        <is>
          <t/>
        </is>
      </c>
      <c r="C34" s="3" t="inlineStr">
        <is>
          <t/>
        </is>
      </c>
      <c r="D34" s="3" t="inlineStr">
        <is>
          <t/>
        </is>
      </c>
      <c r="E34" s="3" t="inlineStr">
        <is>
          <t/>
        </is>
      </c>
      <c r="F34" s="3" t="inlineStr">
        <is>
          <t/>
        </is>
      </c>
      <c r="G34" s="3" t="inlineStr">
        <is>
          <t/>
        </is>
      </c>
      <c r="H34" s="3" t="inlineStr">
        <is>
          <t/>
        </is>
      </c>
      <c r="I34" s="3" t="inlineStr">
        <is>
          <t/>
        </is>
      </c>
      <c r="J34" s="3" t="inlineStr">
        <is>
          <t/>
        </is>
      </c>
      <c r="K34" s="3" t="inlineStr">
        <is>
          <t/>
        </is>
      </c>
      <c r="L34" s="3" t="inlineStr">
        <is>
          <t/>
        </is>
      </c>
      <c r="M34" s="3" t="inlineStr">
        <is>
          <t/>
        </is>
      </c>
      <c r="N34" s="3" t="inlineStr">
        <is>
          <t/>
        </is>
      </c>
      <c r="O34" s="3" t="inlineStr">
        <is>
          <t/>
        </is>
      </c>
      <c r="P34" s="3" t="inlineStr">
        <is>
          <t/>
        </is>
      </c>
      <c r="Q34" s="3" t="inlineStr">
        <is>
          <t/>
        </is>
      </c>
      <c r="R34" s="3" t="inlineStr">
        <is>
          <t/>
        </is>
      </c>
      <c r="S34" s="3" t="inlineStr">
        <is>
          <t/>
        </is>
      </c>
      <c r="T34" s="3" t="inlineStr">
        <is>
          <t/>
        </is>
      </c>
      <c r="U34" s="3" t="inlineStr">
        <is>
          <t/>
        </is>
      </c>
      <c r="V34" s="3" t="inlineStr">
        <is>
          <t/>
        </is>
      </c>
      <c r="W34" s="3" t="inlineStr">
        <is>
          <t/>
        </is>
      </c>
      <c r="X34" s="3" t="inlineStr">
        <is>
          <t/>
        </is>
      </c>
      <c r="Y34" s="3" t="inlineStr">
        <is>
          <t/>
        </is>
      </c>
      <c r="Z34" s="3" t="inlineStr">
        <is>
          <t/>
        </is>
      </c>
      <c r="[34" s="3" t="inlineStr">
        <is>
          <t/>
        </is>
      </c>
      <c r="\34" s="3" t="inlineStr">
        <is>
          <t/>
        </is>
      </c>
      <c r="]34" s="3" t="inlineStr">
        <is>
          <t/>
        </is>
      </c>
      <c r="^34" s="3" t="inlineStr">
        <is>
          <t/>
        </is>
      </c>
      <c r="_34" s="3" t="inlineStr">
        <is>
          <t/>
        </is>
      </c>
      <c r="`34" s="3" t="inlineStr">
        <is>
          <t/>
        </is>
      </c>
      <c r="AG34" s="3" t="inlineStr">
        <is>
          <t>=SUM(B34:AF34)</t>
        </is>
      </c>
      <c r="AH34" s="3" t="inlineStr">
        <is>
          <t>=AG34/8</t>
        </is>
      </c>
    </row>
    <row r="35">
      <c r="A35" t="inlineStr">
        <is>
          <t>=IF('Punonjësit'!A35="","",'Punonjësit'!A35)</t>
        </is>
      </c>
      <c r="B35" s="3" t="inlineStr">
        <is>
          <t/>
        </is>
      </c>
      <c r="C35" s="3" t="inlineStr">
        <is>
          <t/>
        </is>
      </c>
      <c r="D35" s="3" t="inlineStr">
        <is>
          <t/>
        </is>
      </c>
      <c r="E35" s="3" t="inlineStr">
        <is>
          <t/>
        </is>
      </c>
      <c r="F35" s="3" t="inlineStr">
        <is>
          <t/>
        </is>
      </c>
      <c r="G35" s="3" t="inlineStr">
        <is>
          <t/>
        </is>
      </c>
      <c r="H35" s="3" t="inlineStr">
        <is>
          <t/>
        </is>
      </c>
      <c r="I35" s="3" t="inlineStr">
        <is>
          <t/>
        </is>
      </c>
      <c r="J35" s="3" t="inlineStr">
        <is>
          <t/>
        </is>
      </c>
      <c r="K35" s="3" t="inlineStr">
        <is>
          <t/>
        </is>
      </c>
      <c r="L35" s="3" t="inlineStr">
        <is>
          <t/>
        </is>
      </c>
      <c r="M35" s="3" t="inlineStr">
        <is>
          <t/>
        </is>
      </c>
      <c r="N35" s="3" t="inlineStr">
        <is>
          <t/>
        </is>
      </c>
      <c r="O35" s="3" t="inlineStr">
        <is>
          <t/>
        </is>
      </c>
      <c r="P35" s="3" t="inlineStr">
        <is>
          <t/>
        </is>
      </c>
      <c r="Q35" s="3" t="inlineStr">
        <is>
          <t/>
        </is>
      </c>
      <c r="R35" s="3" t="inlineStr">
        <is>
          <t/>
        </is>
      </c>
      <c r="S35" s="3" t="inlineStr">
        <is>
          <t/>
        </is>
      </c>
      <c r="T35" s="3" t="inlineStr">
        <is>
          <t/>
        </is>
      </c>
      <c r="U35" s="3" t="inlineStr">
        <is>
          <t/>
        </is>
      </c>
      <c r="V35" s="3" t="inlineStr">
        <is>
          <t/>
        </is>
      </c>
      <c r="W35" s="3" t="inlineStr">
        <is>
          <t/>
        </is>
      </c>
      <c r="X35" s="3" t="inlineStr">
        <is>
          <t/>
        </is>
      </c>
      <c r="Y35" s="3" t="inlineStr">
        <is>
          <t/>
        </is>
      </c>
      <c r="Z35" s="3" t="inlineStr">
        <is>
          <t/>
        </is>
      </c>
      <c r="[35" s="3" t="inlineStr">
        <is>
          <t/>
        </is>
      </c>
      <c r="\35" s="3" t="inlineStr">
        <is>
          <t/>
        </is>
      </c>
      <c r="]35" s="3" t="inlineStr">
        <is>
          <t/>
        </is>
      </c>
      <c r="^35" s="3" t="inlineStr">
        <is>
          <t/>
        </is>
      </c>
      <c r="_35" s="3" t="inlineStr">
        <is>
          <t/>
        </is>
      </c>
      <c r="`35" s="3" t="inlineStr">
        <is>
          <t/>
        </is>
      </c>
      <c r="AG35" s="3" t="inlineStr">
        <is>
          <t>=SUM(B35:AF35)</t>
        </is>
      </c>
      <c r="AH35" s="3" t="inlineStr">
        <is>
          <t>=AG35/8</t>
        </is>
      </c>
    </row>
    <row r="36">
      <c r="A36" t="inlineStr">
        <is>
          <t>=IF('Punonjësit'!A36="","",'Punonjësit'!A36)</t>
        </is>
      </c>
      <c r="B36" s="3" t="inlineStr">
        <is>
          <t/>
        </is>
      </c>
      <c r="C36" s="3" t="inlineStr">
        <is>
          <t/>
        </is>
      </c>
      <c r="D36" s="3" t="inlineStr">
        <is>
          <t/>
        </is>
      </c>
      <c r="E36" s="3" t="inlineStr">
        <is>
          <t/>
        </is>
      </c>
      <c r="F36" s="3" t="inlineStr">
        <is>
          <t/>
        </is>
      </c>
      <c r="G36" s="3" t="inlineStr">
        <is>
          <t/>
        </is>
      </c>
      <c r="H36" s="3" t="inlineStr">
        <is>
          <t/>
        </is>
      </c>
      <c r="I36" s="3" t="inlineStr">
        <is>
          <t/>
        </is>
      </c>
      <c r="J36" s="3" t="inlineStr">
        <is>
          <t/>
        </is>
      </c>
      <c r="K36" s="3" t="inlineStr">
        <is>
          <t/>
        </is>
      </c>
      <c r="L36" s="3" t="inlineStr">
        <is>
          <t/>
        </is>
      </c>
      <c r="M36" s="3" t="inlineStr">
        <is>
          <t/>
        </is>
      </c>
      <c r="N36" s="3" t="inlineStr">
        <is>
          <t/>
        </is>
      </c>
      <c r="O36" s="3" t="inlineStr">
        <is>
          <t/>
        </is>
      </c>
      <c r="P36" s="3" t="inlineStr">
        <is>
          <t/>
        </is>
      </c>
      <c r="Q36" s="3" t="inlineStr">
        <is>
          <t/>
        </is>
      </c>
      <c r="R36" s="3" t="inlineStr">
        <is>
          <t/>
        </is>
      </c>
      <c r="S36" s="3" t="inlineStr">
        <is>
          <t/>
        </is>
      </c>
      <c r="T36" s="3" t="inlineStr">
        <is>
          <t/>
        </is>
      </c>
      <c r="U36" s="3" t="inlineStr">
        <is>
          <t/>
        </is>
      </c>
      <c r="V36" s="3" t="inlineStr">
        <is>
          <t/>
        </is>
      </c>
      <c r="W36" s="3" t="inlineStr">
        <is>
          <t/>
        </is>
      </c>
      <c r="X36" s="3" t="inlineStr">
        <is>
          <t/>
        </is>
      </c>
      <c r="Y36" s="3" t="inlineStr">
        <is>
          <t/>
        </is>
      </c>
      <c r="Z36" s="3" t="inlineStr">
        <is>
          <t/>
        </is>
      </c>
      <c r="[36" s="3" t="inlineStr">
        <is>
          <t/>
        </is>
      </c>
      <c r="\36" s="3" t="inlineStr">
        <is>
          <t/>
        </is>
      </c>
      <c r="]36" s="3" t="inlineStr">
        <is>
          <t/>
        </is>
      </c>
      <c r="^36" s="3" t="inlineStr">
        <is>
          <t/>
        </is>
      </c>
      <c r="_36" s="3" t="inlineStr">
        <is>
          <t/>
        </is>
      </c>
      <c r="`36" s="3" t="inlineStr">
        <is>
          <t/>
        </is>
      </c>
      <c r="AG36" s="3" t="inlineStr">
        <is>
          <t>=SUM(B36:AF36)</t>
        </is>
      </c>
      <c r="AH36" s="3" t="inlineStr">
        <is>
          <t>=AG36/8</t>
        </is>
      </c>
    </row>
    <row r="37">
      <c r="A37" t="inlineStr">
        <is>
          <t>=IF('Punonjësit'!A37="","",'Punonjësit'!A37)</t>
        </is>
      </c>
      <c r="B37" s="3" t="inlineStr">
        <is>
          <t/>
        </is>
      </c>
      <c r="C37" s="3" t="inlineStr">
        <is>
          <t/>
        </is>
      </c>
      <c r="D37" s="3" t="inlineStr">
        <is>
          <t/>
        </is>
      </c>
      <c r="E37" s="3" t="inlineStr">
        <is>
          <t/>
        </is>
      </c>
      <c r="F37" s="3" t="inlineStr">
        <is>
          <t/>
        </is>
      </c>
      <c r="G37" s="3" t="inlineStr">
        <is>
          <t/>
        </is>
      </c>
      <c r="H37" s="3" t="inlineStr">
        <is>
          <t/>
        </is>
      </c>
      <c r="I37" s="3" t="inlineStr">
        <is>
          <t/>
        </is>
      </c>
      <c r="J37" s="3" t="inlineStr">
        <is>
          <t/>
        </is>
      </c>
      <c r="K37" s="3" t="inlineStr">
        <is>
          <t/>
        </is>
      </c>
      <c r="L37" s="3" t="inlineStr">
        <is>
          <t/>
        </is>
      </c>
      <c r="M37" s="3" t="inlineStr">
        <is>
          <t/>
        </is>
      </c>
      <c r="N37" s="3" t="inlineStr">
        <is>
          <t/>
        </is>
      </c>
      <c r="O37" s="3" t="inlineStr">
        <is>
          <t/>
        </is>
      </c>
      <c r="P37" s="3" t="inlineStr">
        <is>
          <t/>
        </is>
      </c>
      <c r="Q37" s="3" t="inlineStr">
        <is>
          <t/>
        </is>
      </c>
      <c r="R37" s="3" t="inlineStr">
        <is>
          <t/>
        </is>
      </c>
      <c r="S37" s="3" t="inlineStr">
        <is>
          <t/>
        </is>
      </c>
      <c r="T37" s="3" t="inlineStr">
        <is>
          <t/>
        </is>
      </c>
      <c r="U37" s="3" t="inlineStr">
        <is>
          <t/>
        </is>
      </c>
      <c r="V37" s="3" t="inlineStr">
        <is>
          <t/>
        </is>
      </c>
      <c r="W37" s="3" t="inlineStr">
        <is>
          <t/>
        </is>
      </c>
      <c r="X37" s="3" t="inlineStr">
        <is>
          <t/>
        </is>
      </c>
      <c r="Y37" s="3" t="inlineStr">
        <is>
          <t/>
        </is>
      </c>
      <c r="Z37" s="3" t="inlineStr">
        <is>
          <t/>
        </is>
      </c>
      <c r="[37" s="3" t="inlineStr">
        <is>
          <t/>
        </is>
      </c>
      <c r="\37" s="3" t="inlineStr">
        <is>
          <t/>
        </is>
      </c>
      <c r="]37" s="3" t="inlineStr">
        <is>
          <t/>
        </is>
      </c>
      <c r="^37" s="3" t="inlineStr">
        <is>
          <t/>
        </is>
      </c>
      <c r="_37" s="3" t="inlineStr">
        <is>
          <t/>
        </is>
      </c>
      <c r="`37" s="3" t="inlineStr">
        <is>
          <t/>
        </is>
      </c>
      <c r="AG37" s="3" t="inlineStr">
        <is>
          <t>=SUM(B37:AF37)</t>
        </is>
      </c>
      <c r="AH37" s="3" t="inlineStr">
        <is>
          <t>=AG37/8</t>
        </is>
      </c>
    </row>
    <row r="38">
      <c r="A38" t="inlineStr">
        <is>
          <t>=IF('Punonjësit'!A38="","",'Punonjësit'!A38)</t>
        </is>
      </c>
      <c r="B38" s="3" t="inlineStr">
        <is>
          <t/>
        </is>
      </c>
      <c r="C38" s="3" t="inlineStr">
        <is>
          <t/>
        </is>
      </c>
      <c r="D38" s="3" t="inlineStr">
        <is>
          <t/>
        </is>
      </c>
      <c r="E38" s="3" t="inlineStr">
        <is>
          <t/>
        </is>
      </c>
      <c r="F38" s="3" t="inlineStr">
        <is>
          <t/>
        </is>
      </c>
      <c r="G38" s="3" t="inlineStr">
        <is>
          <t/>
        </is>
      </c>
      <c r="H38" s="3" t="inlineStr">
        <is>
          <t/>
        </is>
      </c>
      <c r="I38" s="3" t="inlineStr">
        <is>
          <t/>
        </is>
      </c>
      <c r="J38" s="3" t="inlineStr">
        <is>
          <t/>
        </is>
      </c>
      <c r="K38" s="3" t="inlineStr">
        <is>
          <t/>
        </is>
      </c>
      <c r="L38" s="3" t="inlineStr">
        <is>
          <t/>
        </is>
      </c>
      <c r="M38" s="3" t="inlineStr">
        <is>
          <t/>
        </is>
      </c>
      <c r="N38" s="3" t="inlineStr">
        <is>
          <t/>
        </is>
      </c>
      <c r="O38" s="3" t="inlineStr">
        <is>
          <t/>
        </is>
      </c>
      <c r="P38" s="3" t="inlineStr">
        <is>
          <t/>
        </is>
      </c>
      <c r="Q38" s="3" t="inlineStr">
        <is>
          <t/>
        </is>
      </c>
      <c r="R38" s="3" t="inlineStr">
        <is>
          <t/>
        </is>
      </c>
      <c r="S38" s="3" t="inlineStr">
        <is>
          <t/>
        </is>
      </c>
      <c r="T38" s="3" t="inlineStr">
        <is>
          <t/>
        </is>
      </c>
      <c r="U38" s="3" t="inlineStr">
        <is>
          <t/>
        </is>
      </c>
      <c r="V38" s="3" t="inlineStr">
        <is>
          <t/>
        </is>
      </c>
      <c r="W38" s="3" t="inlineStr">
        <is>
          <t/>
        </is>
      </c>
      <c r="X38" s="3" t="inlineStr">
        <is>
          <t/>
        </is>
      </c>
      <c r="Y38" s="3" t="inlineStr">
        <is>
          <t/>
        </is>
      </c>
      <c r="Z38" s="3" t="inlineStr">
        <is>
          <t/>
        </is>
      </c>
      <c r="[38" s="3" t="inlineStr">
        <is>
          <t/>
        </is>
      </c>
      <c r="\38" s="3" t="inlineStr">
        <is>
          <t/>
        </is>
      </c>
      <c r="]38" s="3" t="inlineStr">
        <is>
          <t/>
        </is>
      </c>
      <c r="^38" s="3" t="inlineStr">
        <is>
          <t/>
        </is>
      </c>
      <c r="_38" s="3" t="inlineStr">
        <is>
          <t/>
        </is>
      </c>
      <c r="`38" s="3" t="inlineStr">
        <is>
          <t/>
        </is>
      </c>
      <c r="AG38" s="3" t="inlineStr">
        <is>
          <t>=SUM(B38:AF38)</t>
        </is>
      </c>
      <c r="AH38" s="3" t="inlineStr">
        <is>
          <t>=AG38/8</t>
        </is>
      </c>
    </row>
    <row r="39">
      <c r="A39" t="inlineStr">
        <is>
          <t>=IF('Punonjësit'!A39="","",'Punonjësit'!A39)</t>
        </is>
      </c>
      <c r="B39" s="3" t="inlineStr">
        <is>
          <t/>
        </is>
      </c>
      <c r="C39" s="3" t="inlineStr">
        <is>
          <t/>
        </is>
      </c>
      <c r="D39" s="3" t="inlineStr">
        <is>
          <t/>
        </is>
      </c>
      <c r="E39" s="3" t="inlineStr">
        <is>
          <t/>
        </is>
      </c>
      <c r="F39" s="3" t="inlineStr">
        <is>
          <t/>
        </is>
      </c>
      <c r="G39" s="3" t="inlineStr">
        <is>
          <t/>
        </is>
      </c>
      <c r="H39" s="3" t="inlineStr">
        <is>
          <t/>
        </is>
      </c>
      <c r="I39" s="3" t="inlineStr">
        <is>
          <t/>
        </is>
      </c>
      <c r="J39" s="3" t="inlineStr">
        <is>
          <t/>
        </is>
      </c>
      <c r="K39" s="3" t="inlineStr">
        <is>
          <t/>
        </is>
      </c>
      <c r="L39" s="3" t="inlineStr">
        <is>
          <t/>
        </is>
      </c>
      <c r="M39" s="3" t="inlineStr">
        <is>
          <t/>
        </is>
      </c>
      <c r="N39" s="3" t="inlineStr">
        <is>
          <t/>
        </is>
      </c>
      <c r="O39" s="3" t="inlineStr">
        <is>
          <t/>
        </is>
      </c>
      <c r="P39" s="3" t="inlineStr">
        <is>
          <t/>
        </is>
      </c>
      <c r="Q39" s="3" t="inlineStr">
        <is>
          <t/>
        </is>
      </c>
      <c r="R39" s="3" t="inlineStr">
        <is>
          <t/>
        </is>
      </c>
      <c r="S39" s="3" t="inlineStr">
        <is>
          <t/>
        </is>
      </c>
      <c r="T39" s="3" t="inlineStr">
        <is>
          <t/>
        </is>
      </c>
      <c r="U39" s="3" t="inlineStr">
        <is>
          <t/>
        </is>
      </c>
      <c r="V39" s="3" t="inlineStr">
        <is>
          <t/>
        </is>
      </c>
      <c r="W39" s="3" t="inlineStr">
        <is>
          <t/>
        </is>
      </c>
      <c r="X39" s="3" t="inlineStr">
        <is>
          <t/>
        </is>
      </c>
      <c r="Y39" s="3" t="inlineStr">
        <is>
          <t/>
        </is>
      </c>
      <c r="Z39" s="3" t="inlineStr">
        <is>
          <t/>
        </is>
      </c>
      <c r="[39" s="3" t="inlineStr">
        <is>
          <t/>
        </is>
      </c>
      <c r="\39" s="3" t="inlineStr">
        <is>
          <t/>
        </is>
      </c>
      <c r="]39" s="3" t="inlineStr">
        <is>
          <t/>
        </is>
      </c>
      <c r="^39" s="3" t="inlineStr">
        <is>
          <t/>
        </is>
      </c>
      <c r="_39" s="3" t="inlineStr">
        <is>
          <t/>
        </is>
      </c>
      <c r="`39" s="3" t="inlineStr">
        <is>
          <t/>
        </is>
      </c>
      <c r="AG39" s="3" t="inlineStr">
        <is>
          <t>=SUM(B39:AF39)</t>
        </is>
      </c>
      <c r="AH39" s="3" t="inlineStr">
        <is>
          <t>=AG39/8</t>
        </is>
      </c>
    </row>
    <row r="40">
      <c r="A40" t="inlineStr">
        <is>
          <t>=IF('Punonjësit'!A40="","",'Punonjësit'!A40)</t>
        </is>
      </c>
      <c r="B40" s="3" t="inlineStr">
        <is>
          <t/>
        </is>
      </c>
      <c r="C40" s="3" t="inlineStr">
        <is>
          <t/>
        </is>
      </c>
      <c r="D40" s="3" t="inlineStr">
        <is>
          <t/>
        </is>
      </c>
      <c r="E40" s="3" t="inlineStr">
        <is>
          <t/>
        </is>
      </c>
      <c r="F40" s="3" t="inlineStr">
        <is>
          <t/>
        </is>
      </c>
      <c r="G40" s="3" t="inlineStr">
        <is>
          <t/>
        </is>
      </c>
      <c r="H40" s="3" t="inlineStr">
        <is>
          <t/>
        </is>
      </c>
      <c r="I40" s="3" t="inlineStr">
        <is>
          <t/>
        </is>
      </c>
      <c r="J40" s="3" t="inlineStr">
        <is>
          <t/>
        </is>
      </c>
      <c r="K40" s="3" t="inlineStr">
        <is>
          <t/>
        </is>
      </c>
      <c r="L40" s="3" t="inlineStr">
        <is>
          <t/>
        </is>
      </c>
      <c r="M40" s="3" t="inlineStr">
        <is>
          <t/>
        </is>
      </c>
      <c r="N40" s="3" t="inlineStr">
        <is>
          <t/>
        </is>
      </c>
      <c r="O40" s="3" t="inlineStr">
        <is>
          <t/>
        </is>
      </c>
      <c r="P40" s="3" t="inlineStr">
        <is>
          <t/>
        </is>
      </c>
      <c r="Q40" s="3" t="inlineStr">
        <is>
          <t/>
        </is>
      </c>
      <c r="R40" s="3" t="inlineStr">
        <is>
          <t/>
        </is>
      </c>
      <c r="S40" s="3" t="inlineStr">
        <is>
          <t/>
        </is>
      </c>
      <c r="T40" s="3" t="inlineStr">
        <is>
          <t/>
        </is>
      </c>
      <c r="U40" s="3" t="inlineStr">
        <is>
          <t/>
        </is>
      </c>
      <c r="V40" s="3" t="inlineStr">
        <is>
          <t/>
        </is>
      </c>
      <c r="W40" s="3" t="inlineStr">
        <is>
          <t/>
        </is>
      </c>
      <c r="X40" s="3" t="inlineStr">
        <is>
          <t/>
        </is>
      </c>
      <c r="Y40" s="3" t="inlineStr">
        <is>
          <t/>
        </is>
      </c>
      <c r="Z40" s="3" t="inlineStr">
        <is>
          <t/>
        </is>
      </c>
      <c r="[40" s="3" t="inlineStr">
        <is>
          <t/>
        </is>
      </c>
      <c r="\40" s="3" t="inlineStr">
        <is>
          <t/>
        </is>
      </c>
      <c r="]40" s="3" t="inlineStr">
        <is>
          <t/>
        </is>
      </c>
      <c r="^40" s="3" t="inlineStr">
        <is>
          <t/>
        </is>
      </c>
      <c r="_40" s="3" t="inlineStr">
        <is>
          <t/>
        </is>
      </c>
      <c r="`40" s="3" t="inlineStr">
        <is>
          <t/>
        </is>
      </c>
      <c r="AG40" s="3" t="inlineStr">
        <is>
          <t>=SUM(B40:AF40)</t>
        </is>
      </c>
      <c r="AH40" s="3" t="inlineStr">
        <is>
          <t>=AG40/8</t>
        </is>
      </c>
    </row>
    <row r="41">
      <c r="A41" t="inlineStr">
        <is>
          <t>=IF('Punonjësit'!A41="","",'Punonjësit'!A41)</t>
        </is>
      </c>
      <c r="B41" s="3" t="inlineStr">
        <is>
          <t/>
        </is>
      </c>
      <c r="C41" s="3" t="inlineStr">
        <is>
          <t/>
        </is>
      </c>
      <c r="D41" s="3" t="inlineStr">
        <is>
          <t/>
        </is>
      </c>
      <c r="E41" s="3" t="inlineStr">
        <is>
          <t/>
        </is>
      </c>
      <c r="F41" s="3" t="inlineStr">
        <is>
          <t/>
        </is>
      </c>
      <c r="G41" s="3" t="inlineStr">
        <is>
          <t/>
        </is>
      </c>
      <c r="H41" s="3" t="inlineStr">
        <is>
          <t/>
        </is>
      </c>
      <c r="I41" s="3" t="inlineStr">
        <is>
          <t/>
        </is>
      </c>
      <c r="J41" s="3" t="inlineStr">
        <is>
          <t/>
        </is>
      </c>
      <c r="K41" s="3" t="inlineStr">
        <is>
          <t/>
        </is>
      </c>
      <c r="L41" s="3" t="inlineStr">
        <is>
          <t/>
        </is>
      </c>
      <c r="M41" s="3" t="inlineStr">
        <is>
          <t/>
        </is>
      </c>
      <c r="N41" s="3" t="inlineStr">
        <is>
          <t/>
        </is>
      </c>
      <c r="O41" s="3" t="inlineStr">
        <is>
          <t/>
        </is>
      </c>
      <c r="P41" s="3" t="inlineStr">
        <is>
          <t/>
        </is>
      </c>
      <c r="Q41" s="3" t="inlineStr">
        <is>
          <t/>
        </is>
      </c>
      <c r="R41" s="3" t="inlineStr">
        <is>
          <t/>
        </is>
      </c>
      <c r="S41" s="3" t="inlineStr">
        <is>
          <t/>
        </is>
      </c>
      <c r="T41" s="3" t="inlineStr">
        <is>
          <t/>
        </is>
      </c>
      <c r="U41" s="3" t="inlineStr">
        <is>
          <t/>
        </is>
      </c>
      <c r="V41" s="3" t="inlineStr">
        <is>
          <t/>
        </is>
      </c>
      <c r="W41" s="3" t="inlineStr">
        <is>
          <t/>
        </is>
      </c>
      <c r="X41" s="3" t="inlineStr">
        <is>
          <t/>
        </is>
      </c>
      <c r="Y41" s="3" t="inlineStr">
        <is>
          <t/>
        </is>
      </c>
      <c r="Z41" s="3" t="inlineStr">
        <is>
          <t/>
        </is>
      </c>
      <c r="[41" s="3" t="inlineStr">
        <is>
          <t/>
        </is>
      </c>
      <c r="\41" s="3" t="inlineStr">
        <is>
          <t/>
        </is>
      </c>
      <c r="]41" s="3" t="inlineStr">
        <is>
          <t/>
        </is>
      </c>
      <c r="^41" s="3" t="inlineStr">
        <is>
          <t/>
        </is>
      </c>
      <c r="_41" s="3" t="inlineStr">
        <is>
          <t/>
        </is>
      </c>
      <c r="`41" s="3" t="inlineStr">
        <is>
          <t/>
        </is>
      </c>
      <c r="AG41" s="3" t="inlineStr">
        <is>
          <t>=SUM(B41:AF41)</t>
        </is>
      </c>
      <c r="AH41" s="3" t="inlineStr">
        <is>
          <t>=AG41/8</t>
        </is>
      </c>
    </row>
    <row r="42">
      <c r="A42" t="inlineStr">
        <is>
          <t>=IF('Punonjësit'!A42="","",'Punonjësit'!A42)</t>
        </is>
      </c>
      <c r="B42" s="3" t="inlineStr">
        <is>
          <t/>
        </is>
      </c>
      <c r="C42" s="3" t="inlineStr">
        <is>
          <t/>
        </is>
      </c>
      <c r="D42" s="3" t="inlineStr">
        <is>
          <t/>
        </is>
      </c>
      <c r="E42" s="3" t="inlineStr">
        <is>
          <t/>
        </is>
      </c>
      <c r="F42" s="3" t="inlineStr">
        <is>
          <t/>
        </is>
      </c>
      <c r="G42" s="3" t="inlineStr">
        <is>
          <t/>
        </is>
      </c>
      <c r="H42" s="3" t="inlineStr">
        <is>
          <t/>
        </is>
      </c>
      <c r="I42" s="3" t="inlineStr">
        <is>
          <t/>
        </is>
      </c>
      <c r="J42" s="3" t="inlineStr">
        <is>
          <t/>
        </is>
      </c>
      <c r="K42" s="3" t="inlineStr">
        <is>
          <t/>
        </is>
      </c>
      <c r="L42" s="3" t="inlineStr">
        <is>
          <t/>
        </is>
      </c>
      <c r="M42" s="3" t="inlineStr">
        <is>
          <t/>
        </is>
      </c>
      <c r="N42" s="3" t="inlineStr">
        <is>
          <t/>
        </is>
      </c>
      <c r="O42" s="3" t="inlineStr">
        <is>
          <t/>
        </is>
      </c>
      <c r="P42" s="3" t="inlineStr">
        <is>
          <t/>
        </is>
      </c>
      <c r="Q42" s="3" t="inlineStr">
        <is>
          <t/>
        </is>
      </c>
      <c r="R42" s="3" t="inlineStr">
        <is>
          <t/>
        </is>
      </c>
      <c r="S42" s="3" t="inlineStr">
        <is>
          <t/>
        </is>
      </c>
      <c r="T42" s="3" t="inlineStr">
        <is>
          <t/>
        </is>
      </c>
      <c r="U42" s="3" t="inlineStr">
        <is>
          <t/>
        </is>
      </c>
      <c r="V42" s="3" t="inlineStr">
        <is>
          <t/>
        </is>
      </c>
      <c r="W42" s="3" t="inlineStr">
        <is>
          <t/>
        </is>
      </c>
      <c r="X42" s="3" t="inlineStr">
        <is>
          <t/>
        </is>
      </c>
      <c r="Y42" s="3" t="inlineStr">
        <is>
          <t/>
        </is>
      </c>
      <c r="Z42" s="3" t="inlineStr">
        <is>
          <t/>
        </is>
      </c>
      <c r="[42" s="3" t="inlineStr">
        <is>
          <t/>
        </is>
      </c>
      <c r="\42" s="3" t="inlineStr">
        <is>
          <t/>
        </is>
      </c>
      <c r="]42" s="3" t="inlineStr">
        <is>
          <t/>
        </is>
      </c>
      <c r="^42" s="3" t="inlineStr">
        <is>
          <t/>
        </is>
      </c>
      <c r="_42" s="3" t="inlineStr">
        <is>
          <t/>
        </is>
      </c>
      <c r="`42" s="3" t="inlineStr">
        <is>
          <t/>
        </is>
      </c>
      <c r="AG42" s="3" t="inlineStr">
        <is>
          <t>=SUM(B42:AF42)</t>
        </is>
      </c>
      <c r="AH42" s="3" t="inlineStr">
        <is>
          <t>=AG42/8</t>
        </is>
      </c>
    </row>
    <row r="43">
      <c r="A43" t="inlineStr">
        <is>
          <t>=IF('Punonjësit'!A43="","",'Punonjësit'!A43)</t>
        </is>
      </c>
      <c r="B43" s="3" t="inlineStr">
        <is>
          <t/>
        </is>
      </c>
      <c r="C43" s="3" t="inlineStr">
        <is>
          <t/>
        </is>
      </c>
      <c r="D43" s="3" t="inlineStr">
        <is>
          <t/>
        </is>
      </c>
      <c r="E43" s="3" t="inlineStr">
        <is>
          <t/>
        </is>
      </c>
      <c r="F43" s="3" t="inlineStr">
        <is>
          <t/>
        </is>
      </c>
      <c r="G43" s="3" t="inlineStr">
        <is>
          <t/>
        </is>
      </c>
      <c r="H43" s="3" t="inlineStr">
        <is>
          <t/>
        </is>
      </c>
      <c r="I43" s="3" t="inlineStr">
        <is>
          <t/>
        </is>
      </c>
      <c r="J43" s="3" t="inlineStr">
        <is>
          <t/>
        </is>
      </c>
      <c r="K43" s="3" t="inlineStr">
        <is>
          <t/>
        </is>
      </c>
      <c r="L43" s="3" t="inlineStr">
        <is>
          <t/>
        </is>
      </c>
      <c r="M43" s="3" t="inlineStr">
        <is>
          <t/>
        </is>
      </c>
      <c r="N43" s="3" t="inlineStr">
        <is>
          <t/>
        </is>
      </c>
      <c r="O43" s="3" t="inlineStr">
        <is>
          <t/>
        </is>
      </c>
      <c r="P43" s="3" t="inlineStr">
        <is>
          <t/>
        </is>
      </c>
      <c r="Q43" s="3" t="inlineStr">
        <is>
          <t/>
        </is>
      </c>
      <c r="R43" s="3" t="inlineStr">
        <is>
          <t/>
        </is>
      </c>
      <c r="S43" s="3" t="inlineStr">
        <is>
          <t/>
        </is>
      </c>
      <c r="T43" s="3" t="inlineStr">
        <is>
          <t/>
        </is>
      </c>
      <c r="U43" s="3" t="inlineStr">
        <is>
          <t/>
        </is>
      </c>
      <c r="V43" s="3" t="inlineStr">
        <is>
          <t/>
        </is>
      </c>
      <c r="W43" s="3" t="inlineStr">
        <is>
          <t/>
        </is>
      </c>
      <c r="X43" s="3" t="inlineStr">
        <is>
          <t/>
        </is>
      </c>
      <c r="Y43" s="3" t="inlineStr">
        <is>
          <t/>
        </is>
      </c>
      <c r="Z43" s="3" t="inlineStr">
        <is>
          <t/>
        </is>
      </c>
      <c r="[43" s="3" t="inlineStr">
        <is>
          <t/>
        </is>
      </c>
      <c r="\43" s="3" t="inlineStr">
        <is>
          <t/>
        </is>
      </c>
      <c r="]43" s="3" t="inlineStr">
        <is>
          <t/>
        </is>
      </c>
      <c r="^43" s="3" t="inlineStr">
        <is>
          <t/>
        </is>
      </c>
      <c r="_43" s="3" t="inlineStr">
        <is>
          <t/>
        </is>
      </c>
      <c r="`43" s="3" t="inlineStr">
        <is>
          <t/>
        </is>
      </c>
      <c r="AG43" s="3" t="inlineStr">
        <is>
          <t>=SUM(B43:AF43)</t>
        </is>
      </c>
      <c r="AH43" s="3" t="inlineStr">
        <is>
          <t>=AG43/8</t>
        </is>
      </c>
    </row>
    <row r="44">
      <c r="A44" t="inlineStr">
        <is>
          <t>=IF('Punonjësit'!A44="","",'Punonjësit'!A44)</t>
        </is>
      </c>
      <c r="B44" s="3" t="inlineStr">
        <is>
          <t/>
        </is>
      </c>
      <c r="C44" s="3" t="inlineStr">
        <is>
          <t/>
        </is>
      </c>
      <c r="D44" s="3" t="inlineStr">
        <is>
          <t/>
        </is>
      </c>
      <c r="E44" s="3" t="inlineStr">
        <is>
          <t/>
        </is>
      </c>
      <c r="F44" s="3" t="inlineStr">
        <is>
          <t/>
        </is>
      </c>
      <c r="G44" s="3" t="inlineStr">
        <is>
          <t/>
        </is>
      </c>
      <c r="H44" s="3" t="inlineStr">
        <is>
          <t/>
        </is>
      </c>
      <c r="I44" s="3" t="inlineStr">
        <is>
          <t/>
        </is>
      </c>
      <c r="J44" s="3" t="inlineStr">
        <is>
          <t/>
        </is>
      </c>
      <c r="K44" s="3" t="inlineStr">
        <is>
          <t/>
        </is>
      </c>
      <c r="L44" s="3" t="inlineStr">
        <is>
          <t/>
        </is>
      </c>
      <c r="M44" s="3" t="inlineStr">
        <is>
          <t/>
        </is>
      </c>
      <c r="N44" s="3" t="inlineStr">
        <is>
          <t/>
        </is>
      </c>
      <c r="O44" s="3" t="inlineStr">
        <is>
          <t/>
        </is>
      </c>
      <c r="P44" s="3" t="inlineStr">
        <is>
          <t/>
        </is>
      </c>
      <c r="Q44" s="3" t="inlineStr">
        <is>
          <t/>
        </is>
      </c>
      <c r="R44" s="3" t="inlineStr">
        <is>
          <t/>
        </is>
      </c>
      <c r="S44" s="3" t="inlineStr">
        <is>
          <t/>
        </is>
      </c>
      <c r="T44" s="3" t="inlineStr">
        <is>
          <t/>
        </is>
      </c>
      <c r="U44" s="3" t="inlineStr">
        <is>
          <t/>
        </is>
      </c>
      <c r="V44" s="3" t="inlineStr">
        <is>
          <t/>
        </is>
      </c>
      <c r="W44" s="3" t="inlineStr">
        <is>
          <t/>
        </is>
      </c>
      <c r="X44" s="3" t="inlineStr">
        <is>
          <t/>
        </is>
      </c>
      <c r="Y44" s="3" t="inlineStr">
        <is>
          <t/>
        </is>
      </c>
      <c r="Z44" s="3" t="inlineStr">
        <is>
          <t/>
        </is>
      </c>
      <c r="[44" s="3" t="inlineStr">
        <is>
          <t/>
        </is>
      </c>
      <c r="\44" s="3" t="inlineStr">
        <is>
          <t/>
        </is>
      </c>
      <c r="]44" s="3" t="inlineStr">
        <is>
          <t/>
        </is>
      </c>
      <c r="^44" s="3" t="inlineStr">
        <is>
          <t/>
        </is>
      </c>
      <c r="_44" s="3" t="inlineStr">
        <is>
          <t/>
        </is>
      </c>
      <c r="`44" s="3" t="inlineStr">
        <is>
          <t/>
        </is>
      </c>
      <c r="AG44" s="3" t="inlineStr">
        <is>
          <t>=SUM(B44:AF44)</t>
        </is>
      </c>
      <c r="AH44" s="3" t="inlineStr">
        <is>
          <t>=AG44/8</t>
        </is>
      </c>
    </row>
    <row r="45">
      <c r="A45" t="inlineStr">
        <is>
          <t>=IF('Punonjësit'!A45="","",'Punonjësit'!A45)</t>
        </is>
      </c>
      <c r="B45" s="3" t="inlineStr">
        <is>
          <t/>
        </is>
      </c>
      <c r="C45" s="3" t="inlineStr">
        <is>
          <t/>
        </is>
      </c>
      <c r="D45" s="3" t="inlineStr">
        <is>
          <t/>
        </is>
      </c>
      <c r="E45" s="3" t="inlineStr">
        <is>
          <t/>
        </is>
      </c>
      <c r="F45" s="3" t="inlineStr">
        <is>
          <t/>
        </is>
      </c>
      <c r="G45" s="3" t="inlineStr">
        <is>
          <t/>
        </is>
      </c>
      <c r="H45" s="3" t="inlineStr">
        <is>
          <t/>
        </is>
      </c>
      <c r="I45" s="3" t="inlineStr">
        <is>
          <t/>
        </is>
      </c>
      <c r="J45" s="3" t="inlineStr">
        <is>
          <t/>
        </is>
      </c>
      <c r="K45" s="3" t="inlineStr">
        <is>
          <t/>
        </is>
      </c>
      <c r="L45" s="3" t="inlineStr">
        <is>
          <t/>
        </is>
      </c>
      <c r="M45" s="3" t="inlineStr">
        <is>
          <t/>
        </is>
      </c>
      <c r="N45" s="3" t="inlineStr">
        <is>
          <t/>
        </is>
      </c>
      <c r="O45" s="3" t="inlineStr">
        <is>
          <t/>
        </is>
      </c>
      <c r="P45" s="3" t="inlineStr">
        <is>
          <t/>
        </is>
      </c>
      <c r="Q45" s="3" t="inlineStr">
        <is>
          <t/>
        </is>
      </c>
      <c r="R45" s="3" t="inlineStr">
        <is>
          <t/>
        </is>
      </c>
      <c r="S45" s="3" t="inlineStr">
        <is>
          <t/>
        </is>
      </c>
      <c r="T45" s="3" t="inlineStr">
        <is>
          <t/>
        </is>
      </c>
      <c r="U45" s="3" t="inlineStr">
        <is>
          <t/>
        </is>
      </c>
      <c r="V45" s="3" t="inlineStr">
        <is>
          <t/>
        </is>
      </c>
      <c r="W45" s="3" t="inlineStr">
        <is>
          <t/>
        </is>
      </c>
      <c r="X45" s="3" t="inlineStr">
        <is>
          <t/>
        </is>
      </c>
      <c r="Y45" s="3" t="inlineStr">
        <is>
          <t/>
        </is>
      </c>
      <c r="Z45" s="3" t="inlineStr">
        <is>
          <t/>
        </is>
      </c>
      <c r="[45" s="3" t="inlineStr">
        <is>
          <t/>
        </is>
      </c>
      <c r="\45" s="3" t="inlineStr">
        <is>
          <t/>
        </is>
      </c>
      <c r="]45" s="3" t="inlineStr">
        <is>
          <t/>
        </is>
      </c>
      <c r="^45" s="3" t="inlineStr">
        <is>
          <t/>
        </is>
      </c>
      <c r="_45" s="3" t="inlineStr">
        <is>
          <t/>
        </is>
      </c>
      <c r="`45" s="3" t="inlineStr">
        <is>
          <t/>
        </is>
      </c>
      <c r="AG45" s="3" t="inlineStr">
        <is>
          <t>=SUM(B45:AF45)</t>
        </is>
      </c>
      <c r="AH45" s="3" t="inlineStr">
        <is>
          <t>=AG45/8</t>
        </is>
      </c>
    </row>
    <row r="46">
      <c r="A46" t="inlineStr">
        <is>
          <t>=IF('Punonjësit'!A46="","",'Punonjësit'!A46)</t>
        </is>
      </c>
      <c r="B46" s="3" t="inlineStr">
        <is>
          <t/>
        </is>
      </c>
      <c r="C46" s="3" t="inlineStr">
        <is>
          <t/>
        </is>
      </c>
      <c r="D46" s="3" t="inlineStr">
        <is>
          <t/>
        </is>
      </c>
      <c r="E46" s="3" t="inlineStr">
        <is>
          <t/>
        </is>
      </c>
      <c r="F46" s="3" t="inlineStr">
        <is>
          <t/>
        </is>
      </c>
      <c r="G46" s="3" t="inlineStr">
        <is>
          <t/>
        </is>
      </c>
      <c r="H46" s="3" t="inlineStr">
        <is>
          <t/>
        </is>
      </c>
      <c r="I46" s="3" t="inlineStr">
        <is>
          <t/>
        </is>
      </c>
      <c r="J46" s="3" t="inlineStr">
        <is>
          <t/>
        </is>
      </c>
      <c r="K46" s="3" t="inlineStr">
        <is>
          <t/>
        </is>
      </c>
      <c r="L46" s="3" t="inlineStr">
        <is>
          <t/>
        </is>
      </c>
      <c r="M46" s="3" t="inlineStr">
        <is>
          <t/>
        </is>
      </c>
      <c r="N46" s="3" t="inlineStr">
        <is>
          <t/>
        </is>
      </c>
      <c r="O46" s="3" t="inlineStr">
        <is>
          <t/>
        </is>
      </c>
      <c r="P46" s="3" t="inlineStr">
        <is>
          <t/>
        </is>
      </c>
      <c r="Q46" s="3" t="inlineStr">
        <is>
          <t/>
        </is>
      </c>
      <c r="R46" s="3" t="inlineStr">
        <is>
          <t/>
        </is>
      </c>
      <c r="S46" s="3" t="inlineStr">
        <is>
          <t/>
        </is>
      </c>
      <c r="T46" s="3" t="inlineStr">
        <is>
          <t/>
        </is>
      </c>
      <c r="U46" s="3" t="inlineStr">
        <is>
          <t/>
        </is>
      </c>
      <c r="V46" s="3" t="inlineStr">
        <is>
          <t/>
        </is>
      </c>
      <c r="W46" s="3" t="inlineStr">
        <is>
          <t/>
        </is>
      </c>
      <c r="X46" s="3" t="inlineStr">
        <is>
          <t/>
        </is>
      </c>
      <c r="Y46" s="3" t="inlineStr">
        <is>
          <t/>
        </is>
      </c>
      <c r="Z46" s="3" t="inlineStr">
        <is>
          <t/>
        </is>
      </c>
      <c r="[46" s="3" t="inlineStr">
        <is>
          <t/>
        </is>
      </c>
      <c r="\46" s="3" t="inlineStr">
        <is>
          <t/>
        </is>
      </c>
      <c r="]46" s="3" t="inlineStr">
        <is>
          <t/>
        </is>
      </c>
      <c r="^46" s="3" t="inlineStr">
        <is>
          <t/>
        </is>
      </c>
      <c r="_46" s="3" t="inlineStr">
        <is>
          <t/>
        </is>
      </c>
      <c r="`46" s="3" t="inlineStr">
        <is>
          <t/>
        </is>
      </c>
      <c r="AG46" s="3" t="inlineStr">
        <is>
          <t>=SUM(B46:AF46)</t>
        </is>
      </c>
      <c r="AH46" s="3" t="inlineStr">
        <is>
          <t>=AG46/8</t>
        </is>
      </c>
    </row>
    <row r="47">
      <c r="A47" t="inlineStr">
        <is>
          <t>=IF('Punonjësit'!A47="","",'Punonjësit'!A47)</t>
        </is>
      </c>
      <c r="B47" s="3" t="inlineStr">
        <is>
          <t/>
        </is>
      </c>
      <c r="C47" s="3" t="inlineStr">
        <is>
          <t/>
        </is>
      </c>
      <c r="D47" s="3" t="inlineStr">
        <is>
          <t/>
        </is>
      </c>
      <c r="E47" s="3" t="inlineStr">
        <is>
          <t/>
        </is>
      </c>
      <c r="F47" s="3" t="inlineStr">
        <is>
          <t/>
        </is>
      </c>
      <c r="G47" s="3" t="inlineStr">
        <is>
          <t/>
        </is>
      </c>
      <c r="H47" s="3" t="inlineStr">
        <is>
          <t/>
        </is>
      </c>
      <c r="I47" s="3" t="inlineStr">
        <is>
          <t/>
        </is>
      </c>
      <c r="J47" s="3" t="inlineStr">
        <is>
          <t/>
        </is>
      </c>
      <c r="K47" s="3" t="inlineStr">
        <is>
          <t/>
        </is>
      </c>
      <c r="L47" s="3" t="inlineStr">
        <is>
          <t/>
        </is>
      </c>
      <c r="M47" s="3" t="inlineStr">
        <is>
          <t/>
        </is>
      </c>
      <c r="N47" s="3" t="inlineStr">
        <is>
          <t/>
        </is>
      </c>
      <c r="O47" s="3" t="inlineStr">
        <is>
          <t/>
        </is>
      </c>
      <c r="P47" s="3" t="inlineStr">
        <is>
          <t/>
        </is>
      </c>
      <c r="Q47" s="3" t="inlineStr">
        <is>
          <t/>
        </is>
      </c>
      <c r="R47" s="3" t="inlineStr">
        <is>
          <t/>
        </is>
      </c>
      <c r="S47" s="3" t="inlineStr">
        <is>
          <t/>
        </is>
      </c>
      <c r="T47" s="3" t="inlineStr">
        <is>
          <t/>
        </is>
      </c>
      <c r="U47" s="3" t="inlineStr">
        <is>
          <t/>
        </is>
      </c>
      <c r="V47" s="3" t="inlineStr">
        <is>
          <t/>
        </is>
      </c>
      <c r="W47" s="3" t="inlineStr">
        <is>
          <t/>
        </is>
      </c>
      <c r="X47" s="3" t="inlineStr">
        <is>
          <t/>
        </is>
      </c>
      <c r="Y47" s="3" t="inlineStr">
        <is>
          <t/>
        </is>
      </c>
      <c r="Z47" s="3" t="inlineStr">
        <is>
          <t/>
        </is>
      </c>
      <c r="[47" s="3" t="inlineStr">
        <is>
          <t/>
        </is>
      </c>
      <c r="\47" s="3" t="inlineStr">
        <is>
          <t/>
        </is>
      </c>
      <c r="]47" s="3" t="inlineStr">
        <is>
          <t/>
        </is>
      </c>
      <c r="^47" s="3" t="inlineStr">
        <is>
          <t/>
        </is>
      </c>
      <c r="_47" s="3" t="inlineStr">
        <is>
          <t/>
        </is>
      </c>
      <c r="`47" s="3" t="inlineStr">
        <is>
          <t/>
        </is>
      </c>
      <c r="AG47" s="3" t="inlineStr">
        <is>
          <t>=SUM(B47:AF47)</t>
        </is>
      </c>
      <c r="AH47" s="3" t="inlineStr">
        <is>
          <t>=AG47/8</t>
        </is>
      </c>
    </row>
    <row r="48">
      <c r="A48" t="inlineStr">
        <is>
          <t>=IF('Punonjësit'!A48="","",'Punonjësit'!A48)</t>
        </is>
      </c>
      <c r="B48" s="3" t="inlineStr">
        <is>
          <t/>
        </is>
      </c>
      <c r="C48" s="3" t="inlineStr">
        <is>
          <t/>
        </is>
      </c>
      <c r="D48" s="3" t="inlineStr">
        <is>
          <t/>
        </is>
      </c>
      <c r="E48" s="3" t="inlineStr">
        <is>
          <t/>
        </is>
      </c>
      <c r="F48" s="3" t="inlineStr">
        <is>
          <t/>
        </is>
      </c>
      <c r="G48" s="3" t="inlineStr">
        <is>
          <t/>
        </is>
      </c>
      <c r="H48" s="3" t="inlineStr">
        <is>
          <t/>
        </is>
      </c>
      <c r="I48" s="3" t="inlineStr">
        <is>
          <t/>
        </is>
      </c>
      <c r="J48" s="3" t="inlineStr">
        <is>
          <t/>
        </is>
      </c>
      <c r="K48" s="3" t="inlineStr">
        <is>
          <t/>
        </is>
      </c>
      <c r="L48" s="3" t="inlineStr">
        <is>
          <t/>
        </is>
      </c>
      <c r="M48" s="3" t="inlineStr">
        <is>
          <t/>
        </is>
      </c>
      <c r="N48" s="3" t="inlineStr">
        <is>
          <t/>
        </is>
      </c>
      <c r="O48" s="3" t="inlineStr">
        <is>
          <t/>
        </is>
      </c>
      <c r="P48" s="3" t="inlineStr">
        <is>
          <t/>
        </is>
      </c>
      <c r="Q48" s="3" t="inlineStr">
        <is>
          <t/>
        </is>
      </c>
      <c r="R48" s="3" t="inlineStr">
        <is>
          <t/>
        </is>
      </c>
      <c r="S48" s="3" t="inlineStr">
        <is>
          <t/>
        </is>
      </c>
      <c r="T48" s="3" t="inlineStr">
        <is>
          <t/>
        </is>
      </c>
      <c r="U48" s="3" t="inlineStr">
        <is>
          <t/>
        </is>
      </c>
      <c r="V48" s="3" t="inlineStr">
        <is>
          <t/>
        </is>
      </c>
      <c r="W48" s="3" t="inlineStr">
        <is>
          <t/>
        </is>
      </c>
      <c r="X48" s="3" t="inlineStr">
        <is>
          <t/>
        </is>
      </c>
      <c r="Y48" s="3" t="inlineStr">
        <is>
          <t/>
        </is>
      </c>
      <c r="Z48" s="3" t="inlineStr">
        <is>
          <t/>
        </is>
      </c>
      <c r="[48" s="3" t="inlineStr">
        <is>
          <t/>
        </is>
      </c>
      <c r="\48" s="3" t="inlineStr">
        <is>
          <t/>
        </is>
      </c>
      <c r="]48" s="3" t="inlineStr">
        <is>
          <t/>
        </is>
      </c>
      <c r="^48" s="3" t="inlineStr">
        <is>
          <t/>
        </is>
      </c>
      <c r="_48" s="3" t="inlineStr">
        <is>
          <t/>
        </is>
      </c>
      <c r="`48" s="3" t="inlineStr">
        <is>
          <t/>
        </is>
      </c>
      <c r="AG48" s="3" t="inlineStr">
        <is>
          <t>=SUM(B48:AF48)</t>
        </is>
      </c>
      <c r="AH48" s="3" t="inlineStr">
        <is>
          <t>=AG48/8</t>
        </is>
      </c>
    </row>
    <row r="49">
      <c r="A49" t="inlineStr">
        <is>
          <t>=IF('Punonjësit'!A49="","",'Punonjësit'!A49)</t>
        </is>
      </c>
      <c r="B49" s="3" t="inlineStr">
        <is>
          <t/>
        </is>
      </c>
      <c r="C49" s="3" t="inlineStr">
        <is>
          <t/>
        </is>
      </c>
      <c r="D49" s="3" t="inlineStr">
        <is>
          <t/>
        </is>
      </c>
      <c r="E49" s="3" t="inlineStr">
        <is>
          <t/>
        </is>
      </c>
      <c r="F49" s="3" t="inlineStr">
        <is>
          <t/>
        </is>
      </c>
      <c r="G49" s="3" t="inlineStr">
        <is>
          <t/>
        </is>
      </c>
      <c r="H49" s="3" t="inlineStr">
        <is>
          <t/>
        </is>
      </c>
      <c r="I49" s="3" t="inlineStr">
        <is>
          <t/>
        </is>
      </c>
      <c r="J49" s="3" t="inlineStr">
        <is>
          <t/>
        </is>
      </c>
      <c r="K49" s="3" t="inlineStr">
        <is>
          <t/>
        </is>
      </c>
      <c r="L49" s="3" t="inlineStr">
        <is>
          <t/>
        </is>
      </c>
      <c r="M49" s="3" t="inlineStr">
        <is>
          <t/>
        </is>
      </c>
      <c r="N49" s="3" t="inlineStr">
        <is>
          <t/>
        </is>
      </c>
      <c r="O49" s="3" t="inlineStr">
        <is>
          <t/>
        </is>
      </c>
      <c r="P49" s="3" t="inlineStr">
        <is>
          <t/>
        </is>
      </c>
      <c r="Q49" s="3" t="inlineStr">
        <is>
          <t/>
        </is>
      </c>
      <c r="R49" s="3" t="inlineStr">
        <is>
          <t/>
        </is>
      </c>
      <c r="S49" s="3" t="inlineStr">
        <is>
          <t/>
        </is>
      </c>
      <c r="T49" s="3" t="inlineStr">
        <is>
          <t/>
        </is>
      </c>
      <c r="U49" s="3" t="inlineStr">
        <is>
          <t/>
        </is>
      </c>
      <c r="V49" s="3" t="inlineStr">
        <is>
          <t/>
        </is>
      </c>
      <c r="W49" s="3" t="inlineStr">
        <is>
          <t/>
        </is>
      </c>
      <c r="X49" s="3" t="inlineStr">
        <is>
          <t/>
        </is>
      </c>
      <c r="Y49" s="3" t="inlineStr">
        <is>
          <t/>
        </is>
      </c>
      <c r="Z49" s="3" t="inlineStr">
        <is>
          <t/>
        </is>
      </c>
      <c r="[49" s="3" t="inlineStr">
        <is>
          <t/>
        </is>
      </c>
      <c r="\49" s="3" t="inlineStr">
        <is>
          <t/>
        </is>
      </c>
      <c r="]49" s="3" t="inlineStr">
        <is>
          <t/>
        </is>
      </c>
      <c r="^49" s="3" t="inlineStr">
        <is>
          <t/>
        </is>
      </c>
      <c r="_49" s="3" t="inlineStr">
        <is>
          <t/>
        </is>
      </c>
      <c r="`49" s="3" t="inlineStr">
        <is>
          <t/>
        </is>
      </c>
      <c r="AG49" s="3" t="inlineStr">
        <is>
          <t>=SUM(B49:AF49)</t>
        </is>
      </c>
      <c r="AH49" s="3" t="inlineStr">
        <is>
          <t>=AG49/8</t>
        </is>
      </c>
    </row>
    <row r="50">
      <c r="A50" t="inlineStr">
        <is>
          <t>=IF('Punonjësit'!A50="","",'Punonjësit'!A50)</t>
        </is>
      </c>
      <c r="B50" s="3" t="inlineStr">
        <is>
          <t/>
        </is>
      </c>
      <c r="C50" s="3" t="inlineStr">
        <is>
          <t/>
        </is>
      </c>
      <c r="D50" s="3" t="inlineStr">
        <is>
          <t/>
        </is>
      </c>
      <c r="E50" s="3" t="inlineStr">
        <is>
          <t/>
        </is>
      </c>
      <c r="F50" s="3" t="inlineStr">
        <is>
          <t/>
        </is>
      </c>
      <c r="G50" s="3" t="inlineStr">
        <is>
          <t/>
        </is>
      </c>
      <c r="H50" s="3" t="inlineStr">
        <is>
          <t/>
        </is>
      </c>
      <c r="I50" s="3" t="inlineStr">
        <is>
          <t/>
        </is>
      </c>
      <c r="J50" s="3" t="inlineStr">
        <is>
          <t/>
        </is>
      </c>
      <c r="K50" s="3" t="inlineStr">
        <is>
          <t/>
        </is>
      </c>
      <c r="L50" s="3" t="inlineStr">
        <is>
          <t/>
        </is>
      </c>
      <c r="M50" s="3" t="inlineStr">
        <is>
          <t/>
        </is>
      </c>
      <c r="N50" s="3" t="inlineStr">
        <is>
          <t/>
        </is>
      </c>
      <c r="O50" s="3" t="inlineStr">
        <is>
          <t/>
        </is>
      </c>
      <c r="P50" s="3" t="inlineStr">
        <is>
          <t/>
        </is>
      </c>
      <c r="Q50" s="3" t="inlineStr">
        <is>
          <t/>
        </is>
      </c>
      <c r="R50" s="3" t="inlineStr">
        <is>
          <t/>
        </is>
      </c>
      <c r="S50" s="3" t="inlineStr">
        <is>
          <t/>
        </is>
      </c>
      <c r="T50" s="3" t="inlineStr">
        <is>
          <t/>
        </is>
      </c>
      <c r="U50" s="3" t="inlineStr">
        <is>
          <t/>
        </is>
      </c>
      <c r="V50" s="3" t="inlineStr">
        <is>
          <t/>
        </is>
      </c>
      <c r="W50" s="3" t="inlineStr">
        <is>
          <t/>
        </is>
      </c>
      <c r="X50" s="3" t="inlineStr">
        <is>
          <t/>
        </is>
      </c>
      <c r="Y50" s="3" t="inlineStr">
        <is>
          <t/>
        </is>
      </c>
      <c r="Z50" s="3" t="inlineStr">
        <is>
          <t/>
        </is>
      </c>
      <c r="[50" s="3" t="inlineStr">
        <is>
          <t/>
        </is>
      </c>
      <c r="\50" s="3" t="inlineStr">
        <is>
          <t/>
        </is>
      </c>
      <c r="]50" s="3" t="inlineStr">
        <is>
          <t/>
        </is>
      </c>
      <c r="^50" s="3" t="inlineStr">
        <is>
          <t/>
        </is>
      </c>
      <c r="_50" s="3" t="inlineStr">
        <is>
          <t/>
        </is>
      </c>
      <c r="`50" s="3" t="inlineStr">
        <is>
          <t/>
        </is>
      </c>
      <c r="AG50" s="3" t="inlineStr">
        <is>
          <t>=SUM(B50:AF50)</t>
        </is>
      </c>
      <c r="AH50" s="3" t="inlineStr">
        <is>
          <t>=AG50/8</t>
        </is>
      </c>
    </row>
    <row r="51">
      <c r="A51" t="inlineStr">
        <is>
          <t>=IF('Punonjësit'!A51="","",'Punonjësit'!A51)</t>
        </is>
      </c>
      <c r="B51" s="3" t="inlineStr">
        <is>
          <t/>
        </is>
      </c>
      <c r="C51" s="3" t="inlineStr">
        <is>
          <t/>
        </is>
      </c>
      <c r="D51" s="3" t="inlineStr">
        <is>
          <t/>
        </is>
      </c>
      <c r="E51" s="3" t="inlineStr">
        <is>
          <t/>
        </is>
      </c>
      <c r="F51" s="3" t="inlineStr">
        <is>
          <t/>
        </is>
      </c>
      <c r="G51" s="3" t="inlineStr">
        <is>
          <t/>
        </is>
      </c>
      <c r="H51" s="3" t="inlineStr">
        <is>
          <t/>
        </is>
      </c>
      <c r="I51" s="3" t="inlineStr">
        <is>
          <t/>
        </is>
      </c>
      <c r="J51" s="3" t="inlineStr">
        <is>
          <t/>
        </is>
      </c>
      <c r="K51" s="3" t="inlineStr">
        <is>
          <t/>
        </is>
      </c>
      <c r="L51" s="3" t="inlineStr">
        <is>
          <t/>
        </is>
      </c>
      <c r="M51" s="3" t="inlineStr">
        <is>
          <t/>
        </is>
      </c>
      <c r="N51" s="3" t="inlineStr">
        <is>
          <t/>
        </is>
      </c>
      <c r="O51" s="3" t="inlineStr">
        <is>
          <t/>
        </is>
      </c>
      <c r="P51" s="3" t="inlineStr">
        <is>
          <t/>
        </is>
      </c>
      <c r="Q51" s="3" t="inlineStr">
        <is>
          <t/>
        </is>
      </c>
      <c r="R51" s="3" t="inlineStr">
        <is>
          <t/>
        </is>
      </c>
      <c r="S51" s="3" t="inlineStr">
        <is>
          <t/>
        </is>
      </c>
      <c r="T51" s="3" t="inlineStr">
        <is>
          <t/>
        </is>
      </c>
      <c r="U51" s="3" t="inlineStr">
        <is>
          <t/>
        </is>
      </c>
      <c r="V51" s="3" t="inlineStr">
        <is>
          <t/>
        </is>
      </c>
      <c r="W51" s="3" t="inlineStr">
        <is>
          <t/>
        </is>
      </c>
      <c r="X51" s="3" t="inlineStr">
        <is>
          <t/>
        </is>
      </c>
      <c r="Y51" s="3" t="inlineStr">
        <is>
          <t/>
        </is>
      </c>
      <c r="Z51" s="3" t="inlineStr">
        <is>
          <t/>
        </is>
      </c>
      <c r="[51" s="3" t="inlineStr">
        <is>
          <t/>
        </is>
      </c>
      <c r="\51" s="3" t="inlineStr">
        <is>
          <t/>
        </is>
      </c>
      <c r="]51" s="3" t="inlineStr">
        <is>
          <t/>
        </is>
      </c>
      <c r="^51" s="3" t="inlineStr">
        <is>
          <t/>
        </is>
      </c>
      <c r="_51" s="3" t="inlineStr">
        <is>
          <t/>
        </is>
      </c>
      <c r="`51" s="3" t="inlineStr">
        <is>
          <t/>
        </is>
      </c>
      <c r="AG51" s="3" t="inlineStr">
        <is>
          <t>=SUM(B51:AF51)</t>
        </is>
      </c>
      <c r="AH51" s="3" t="inlineStr">
        <is>
          <t>=AG51/8</t>
        </is>
      </c>
    </row>
    <row r="52">
      <c r="A52" t="inlineStr">
        <is>
          <t>=IF('Punonjësit'!A52="","",'Punonjësit'!A52)</t>
        </is>
      </c>
      <c r="B52" s="3" t="inlineStr">
        <is>
          <t/>
        </is>
      </c>
      <c r="C52" s="3" t="inlineStr">
        <is>
          <t/>
        </is>
      </c>
      <c r="D52" s="3" t="inlineStr">
        <is>
          <t/>
        </is>
      </c>
      <c r="E52" s="3" t="inlineStr">
        <is>
          <t/>
        </is>
      </c>
      <c r="F52" s="3" t="inlineStr">
        <is>
          <t/>
        </is>
      </c>
      <c r="G52" s="3" t="inlineStr">
        <is>
          <t/>
        </is>
      </c>
      <c r="H52" s="3" t="inlineStr">
        <is>
          <t/>
        </is>
      </c>
      <c r="I52" s="3" t="inlineStr">
        <is>
          <t/>
        </is>
      </c>
      <c r="J52" s="3" t="inlineStr">
        <is>
          <t/>
        </is>
      </c>
      <c r="K52" s="3" t="inlineStr">
        <is>
          <t/>
        </is>
      </c>
      <c r="L52" s="3" t="inlineStr">
        <is>
          <t/>
        </is>
      </c>
      <c r="M52" s="3" t="inlineStr">
        <is>
          <t/>
        </is>
      </c>
      <c r="N52" s="3" t="inlineStr">
        <is>
          <t/>
        </is>
      </c>
      <c r="O52" s="3" t="inlineStr">
        <is>
          <t/>
        </is>
      </c>
      <c r="P52" s="3" t="inlineStr">
        <is>
          <t/>
        </is>
      </c>
      <c r="Q52" s="3" t="inlineStr">
        <is>
          <t/>
        </is>
      </c>
      <c r="R52" s="3" t="inlineStr">
        <is>
          <t/>
        </is>
      </c>
      <c r="S52" s="3" t="inlineStr">
        <is>
          <t/>
        </is>
      </c>
      <c r="T52" s="3" t="inlineStr">
        <is>
          <t/>
        </is>
      </c>
      <c r="U52" s="3" t="inlineStr">
        <is>
          <t/>
        </is>
      </c>
      <c r="V52" s="3" t="inlineStr">
        <is>
          <t/>
        </is>
      </c>
      <c r="W52" s="3" t="inlineStr">
        <is>
          <t/>
        </is>
      </c>
      <c r="X52" s="3" t="inlineStr">
        <is>
          <t/>
        </is>
      </c>
      <c r="Y52" s="3" t="inlineStr">
        <is>
          <t/>
        </is>
      </c>
      <c r="Z52" s="3" t="inlineStr">
        <is>
          <t/>
        </is>
      </c>
      <c r="[52" s="3" t="inlineStr">
        <is>
          <t/>
        </is>
      </c>
      <c r="\52" s="3" t="inlineStr">
        <is>
          <t/>
        </is>
      </c>
      <c r="]52" s="3" t="inlineStr">
        <is>
          <t/>
        </is>
      </c>
      <c r="^52" s="3" t="inlineStr">
        <is>
          <t/>
        </is>
      </c>
      <c r="_52" s="3" t="inlineStr">
        <is>
          <t/>
        </is>
      </c>
      <c r="`52" s="3" t="inlineStr">
        <is>
          <t/>
        </is>
      </c>
      <c r="AG52" s="3" t="inlineStr">
        <is>
          <t>=SUM(B52:AF52)</t>
        </is>
      </c>
      <c r="AH52" s="3" t="inlineStr">
        <is>
          <t>=AG52/8</t>
        </is>
      </c>
    </row>
    <row r="53">
      <c r="A53" t="inlineStr">
        <is>
          <t>=IF('Punonjësit'!A53="","",'Punonjësit'!A53)</t>
        </is>
      </c>
      <c r="B53" s="3" t="inlineStr">
        <is>
          <t/>
        </is>
      </c>
      <c r="C53" s="3" t="inlineStr">
        <is>
          <t/>
        </is>
      </c>
      <c r="D53" s="3" t="inlineStr">
        <is>
          <t/>
        </is>
      </c>
      <c r="E53" s="3" t="inlineStr">
        <is>
          <t/>
        </is>
      </c>
      <c r="F53" s="3" t="inlineStr">
        <is>
          <t/>
        </is>
      </c>
      <c r="G53" s="3" t="inlineStr">
        <is>
          <t/>
        </is>
      </c>
      <c r="H53" s="3" t="inlineStr">
        <is>
          <t/>
        </is>
      </c>
      <c r="I53" s="3" t="inlineStr">
        <is>
          <t/>
        </is>
      </c>
      <c r="J53" s="3" t="inlineStr">
        <is>
          <t/>
        </is>
      </c>
      <c r="K53" s="3" t="inlineStr">
        <is>
          <t/>
        </is>
      </c>
      <c r="L53" s="3" t="inlineStr">
        <is>
          <t/>
        </is>
      </c>
      <c r="M53" s="3" t="inlineStr">
        <is>
          <t/>
        </is>
      </c>
      <c r="N53" s="3" t="inlineStr">
        <is>
          <t/>
        </is>
      </c>
      <c r="O53" s="3" t="inlineStr">
        <is>
          <t/>
        </is>
      </c>
      <c r="P53" s="3" t="inlineStr">
        <is>
          <t/>
        </is>
      </c>
      <c r="Q53" s="3" t="inlineStr">
        <is>
          <t/>
        </is>
      </c>
      <c r="R53" s="3" t="inlineStr">
        <is>
          <t/>
        </is>
      </c>
      <c r="S53" s="3" t="inlineStr">
        <is>
          <t/>
        </is>
      </c>
      <c r="T53" s="3" t="inlineStr">
        <is>
          <t/>
        </is>
      </c>
      <c r="U53" s="3" t="inlineStr">
        <is>
          <t/>
        </is>
      </c>
      <c r="V53" s="3" t="inlineStr">
        <is>
          <t/>
        </is>
      </c>
      <c r="W53" s="3" t="inlineStr">
        <is>
          <t/>
        </is>
      </c>
      <c r="X53" s="3" t="inlineStr">
        <is>
          <t/>
        </is>
      </c>
      <c r="Y53" s="3" t="inlineStr">
        <is>
          <t/>
        </is>
      </c>
      <c r="Z53" s="3" t="inlineStr">
        <is>
          <t/>
        </is>
      </c>
      <c r="[53" s="3" t="inlineStr">
        <is>
          <t/>
        </is>
      </c>
      <c r="\53" s="3" t="inlineStr">
        <is>
          <t/>
        </is>
      </c>
      <c r="]53" s="3" t="inlineStr">
        <is>
          <t/>
        </is>
      </c>
      <c r="^53" s="3" t="inlineStr">
        <is>
          <t/>
        </is>
      </c>
      <c r="_53" s="3" t="inlineStr">
        <is>
          <t/>
        </is>
      </c>
      <c r="`53" s="3" t="inlineStr">
        <is>
          <t/>
        </is>
      </c>
      <c r="AG53" s="3" t="inlineStr">
        <is>
          <t>=SUM(B53:AF53)</t>
        </is>
      </c>
      <c r="AH53" s="3" t="inlineStr">
        <is>
          <t>=AG53/8</t>
        </is>
      </c>
    </row>
    <row r="54">
      <c r="A54" t="inlineStr">
        <is>
          <t>=IF('Punonjësit'!A54="","",'Punonjësit'!A54)</t>
        </is>
      </c>
      <c r="B54" s="3" t="inlineStr">
        <is>
          <t/>
        </is>
      </c>
      <c r="C54" s="3" t="inlineStr">
        <is>
          <t/>
        </is>
      </c>
      <c r="D54" s="3" t="inlineStr">
        <is>
          <t/>
        </is>
      </c>
      <c r="E54" s="3" t="inlineStr">
        <is>
          <t/>
        </is>
      </c>
      <c r="F54" s="3" t="inlineStr">
        <is>
          <t/>
        </is>
      </c>
      <c r="G54" s="3" t="inlineStr">
        <is>
          <t/>
        </is>
      </c>
      <c r="H54" s="3" t="inlineStr">
        <is>
          <t/>
        </is>
      </c>
      <c r="I54" s="3" t="inlineStr">
        <is>
          <t/>
        </is>
      </c>
      <c r="J54" s="3" t="inlineStr">
        <is>
          <t/>
        </is>
      </c>
      <c r="K54" s="3" t="inlineStr">
        <is>
          <t/>
        </is>
      </c>
      <c r="L54" s="3" t="inlineStr">
        <is>
          <t/>
        </is>
      </c>
      <c r="M54" s="3" t="inlineStr">
        <is>
          <t/>
        </is>
      </c>
      <c r="N54" s="3" t="inlineStr">
        <is>
          <t/>
        </is>
      </c>
      <c r="O54" s="3" t="inlineStr">
        <is>
          <t/>
        </is>
      </c>
      <c r="P54" s="3" t="inlineStr">
        <is>
          <t/>
        </is>
      </c>
      <c r="Q54" s="3" t="inlineStr">
        <is>
          <t/>
        </is>
      </c>
      <c r="R54" s="3" t="inlineStr">
        <is>
          <t/>
        </is>
      </c>
      <c r="S54" s="3" t="inlineStr">
        <is>
          <t/>
        </is>
      </c>
      <c r="T54" s="3" t="inlineStr">
        <is>
          <t/>
        </is>
      </c>
      <c r="U54" s="3" t="inlineStr">
        <is>
          <t/>
        </is>
      </c>
      <c r="V54" s="3" t="inlineStr">
        <is>
          <t/>
        </is>
      </c>
      <c r="W54" s="3" t="inlineStr">
        <is>
          <t/>
        </is>
      </c>
      <c r="X54" s="3" t="inlineStr">
        <is>
          <t/>
        </is>
      </c>
      <c r="Y54" s="3" t="inlineStr">
        <is>
          <t/>
        </is>
      </c>
      <c r="Z54" s="3" t="inlineStr">
        <is>
          <t/>
        </is>
      </c>
      <c r="[54" s="3" t="inlineStr">
        <is>
          <t/>
        </is>
      </c>
      <c r="\54" s="3" t="inlineStr">
        <is>
          <t/>
        </is>
      </c>
      <c r="]54" s="3" t="inlineStr">
        <is>
          <t/>
        </is>
      </c>
      <c r="^54" s="3" t="inlineStr">
        <is>
          <t/>
        </is>
      </c>
      <c r="_54" s="3" t="inlineStr">
        <is>
          <t/>
        </is>
      </c>
      <c r="`54" s="3" t="inlineStr">
        <is>
          <t/>
        </is>
      </c>
      <c r="AG54" s="3" t="inlineStr">
        <is>
          <t>=SUM(B54:AF54)</t>
        </is>
      </c>
      <c r="AH54" s="3" t="inlineStr">
        <is>
          <t>=AG54/8</t>
        </is>
      </c>
    </row>
    <row r="55">
      <c r="A55" t="inlineStr">
        <is>
          <t>=IF('Punonjësit'!A55="","",'Punonjësit'!A55)</t>
        </is>
      </c>
      <c r="B55" s="3" t="inlineStr">
        <is>
          <t/>
        </is>
      </c>
      <c r="C55" s="3" t="inlineStr">
        <is>
          <t/>
        </is>
      </c>
      <c r="D55" s="3" t="inlineStr">
        <is>
          <t/>
        </is>
      </c>
      <c r="E55" s="3" t="inlineStr">
        <is>
          <t/>
        </is>
      </c>
      <c r="F55" s="3" t="inlineStr">
        <is>
          <t/>
        </is>
      </c>
      <c r="G55" s="3" t="inlineStr">
        <is>
          <t/>
        </is>
      </c>
      <c r="H55" s="3" t="inlineStr">
        <is>
          <t/>
        </is>
      </c>
      <c r="I55" s="3" t="inlineStr">
        <is>
          <t/>
        </is>
      </c>
      <c r="J55" s="3" t="inlineStr">
        <is>
          <t/>
        </is>
      </c>
      <c r="K55" s="3" t="inlineStr">
        <is>
          <t/>
        </is>
      </c>
      <c r="L55" s="3" t="inlineStr">
        <is>
          <t/>
        </is>
      </c>
      <c r="M55" s="3" t="inlineStr">
        <is>
          <t/>
        </is>
      </c>
      <c r="N55" s="3" t="inlineStr">
        <is>
          <t/>
        </is>
      </c>
      <c r="O55" s="3" t="inlineStr">
        <is>
          <t/>
        </is>
      </c>
      <c r="P55" s="3" t="inlineStr">
        <is>
          <t/>
        </is>
      </c>
      <c r="Q55" s="3" t="inlineStr">
        <is>
          <t/>
        </is>
      </c>
      <c r="R55" s="3" t="inlineStr">
        <is>
          <t/>
        </is>
      </c>
      <c r="S55" s="3" t="inlineStr">
        <is>
          <t/>
        </is>
      </c>
      <c r="T55" s="3" t="inlineStr">
        <is>
          <t/>
        </is>
      </c>
      <c r="U55" s="3" t="inlineStr">
        <is>
          <t/>
        </is>
      </c>
      <c r="V55" s="3" t="inlineStr">
        <is>
          <t/>
        </is>
      </c>
      <c r="W55" s="3" t="inlineStr">
        <is>
          <t/>
        </is>
      </c>
      <c r="X55" s="3" t="inlineStr">
        <is>
          <t/>
        </is>
      </c>
      <c r="Y55" s="3" t="inlineStr">
        <is>
          <t/>
        </is>
      </c>
      <c r="Z55" s="3" t="inlineStr">
        <is>
          <t/>
        </is>
      </c>
      <c r="[55" s="3" t="inlineStr">
        <is>
          <t/>
        </is>
      </c>
      <c r="\55" s="3" t="inlineStr">
        <is>
          <t/>
        </is>
      </c>
      <c r="]55" s="3" t="inlineStr">
        <is>
          <t/>
        </is>
      </c>
      <c r="^55" s="3" t="inlineStr">
        <is>
          <t/>
        </is>
      </c>
      <c r="_55" s="3" t="inlineStr">
        <is>
          <t/>
        </is>
      </c>
      <c r="`55" s="3" t="inlineStr">
        <is>
          <t/>
        </is>
      </c>
      <c r="AG55" s="3" t="inlineStr">
        <is>
          <t>=SUM(B55:AF55)</t>
        </is>
      </c>
      <c r="AH55" s="3" t="inlineStr">
        <is>
          <t>=AG55/8</t>
        </is>
      </c>
    </row>
    <row r="56">
      <c r="A56" t="inlineStr">
        <is>
          <t>=IF('Punonjësit'!A56="","",'Punonjësit'!A56)</t>
        </is>
      </c>
      <c r="B56" s="3" t="inlineStr">
        <is>
          <t/>
        </is>
      </c>
      <c r="C56" s="3" t="inlineStr">
        <is>
          <t/>
        </is>
      </c>
      <c r="D56" s="3" t="inlineStr">
        <is>
          <t/>
        </is>
      </c>
      <c r="E56" s="3" t="inlineStr">
        <is>
          <t/>
        </is>
      </c>
      <c r="F56" s="3" t="inlineStr">
        <is>
          <t/>
        </is>
      </c>
      <c r="G56" s="3" t="inlineStr">
        <is>
          <t/>
        </is>
      </c>
      <c r="H56" s="3" t="inlineStr">
        <is>
          <t/>
        </is>
      </c>
      <c r="I56" s="3" t="inlineStr">
        <is>
          <t/>
        </is>
      </c>
      <c r="J56" s="3" t="inlineStr">
        <is>
          <t/>
        </is>
      </c>
      <c r="K56" s="3" t="inlineStr">
        <is>
          <t/>
        </is>
      </c>
      <c r="L56" s="3" t="inlineStr">
        <is>
          <t/>
        </is>
      </c>
      <c r="M56" s="3" t="inlineStr">
        <is>
          <t/>
        </is>
      </c>
      <c r="N56" s="3" t="inlineStr">
        <is>
          <t/>
        </is>
      </c>
      <c r="O56" s="3" t="inlineStr">
        <is>
          <t/>
        </is>
      </c>
      <c r="P56" s="3" t="inlineStr">
        <is>
          <t/>
        </is>
      </c>
      <c r="Q56" s="3" t="inlineStr">
        <is>
          <t/>
        </is>
      </c>
      <c r="R56" s="3" t="inlineStr">
        <is>
          <t/>
        </is>
      </c>
      <c r="S56" s="3" t="inlineStr">
        <is>
          <t/>
        </is>
      </c>
      <c r="T56" s="3" t="inlineStr">
        <is>
          <t/>
        </is>
      </c>
      <c r="U56" s="3" t="inlineStr">
        <is>
          <t/>
        </is>
      </c>
      <c r="V56" s="3" t="inlineStr">
        <is>
          <t/>
        </is>
      </c>
      <c r="W56" s="3" t="inlineStr">
        <is>
          <t/>
        </is>
      </c>
      <c r="X56" s="3" t="inlineStr">
        <is>
          <t/>
        </is>
      </c>
      <c r="Y56" s="3" t="inlineStr">
        <is>
          <t/>
        </is>
      </c>
      <c r="Z56" s="3" t="inlineStr">
        <is>
          <t/>
        </is>
      </c>
      <c r="[56" s="3" t="inlineStr">
        <is>
          <t/>
        </is>
      </c>
      <c r="\56" s="3" t="inlineStr">
        <is>
          <t/>
        </is>
      </c>
      <c r="]56" s="3" t="inlineStr">
        <is>
          <t/>
        </is>
      </c>
      <c r="^56" s="3" t="inlineStr">
        <is>
          <t/>
        </is>
      </c>
      <c r="_56" s="3" t="inlineStr">
        <is>
          <t/>
        </is>
      </c>
      <c r="`56" s="3" t="inlineStr">
        <is>
          <t/>
        </is>
      </c>
      <c r="AG56" s="3" t="inlineStr">
        <is>
          <t>=SUM(B56:AF56)</t>
        </is>
      </c>
      <c r="AH56" s="3" t="inlineStr">
        <is>
          <t>=AG56/8</t>
        </is>
      </c>
    </row>
    <row r="57">
      <c r="A57" t="inlineStr">
        <is>
          <t>=IF('Punonjësit'!A57="","",'Punonjësit'!A57)</t>
        </is>
      </c>
      <c r="B57" s="3" t="inlineStr">
        <is>
          <t/>
        </is>
      </c>
      <c r="C57" s="3" t="inlineStr">
        <is>
          <t/>
        </is>
      </c>
      <c r="D57" s="3" t="inlineStr">
        <is>
          <t/>
        </is>
      </c>
      <c r="E57" s="3" t="inlineStr">
        <is>
          <t/>
        </is>
      </c>
      <c r="F57" s="3" t="inlineStr">
        <is>
          <t/>
        </is>
      </c>
      <c r="G57" s="3" t="inlineStr">
        <is>
          <t/>
        </is>
      </c>
      <c r="H57" s="3" t="inlineStr">
        <is>
          <t/>
        </is>
      </c>
      <c r="I57" s="3" t="inlineStr">
        <is>
          <t/>
        </is>
      </c>
      <c r="J57" s="3" t="inlineStr">
        <is>
          <t/>
        </is>
      </c>
      <c r="K57" s="3" t="inlineStr">
        <is>
          <t/>
        </is>
      </c>
      <c r="L57" s="3" t="inlineStr">
        <is>
          <t/>
        </is>
      </c>
      <c r="M57" s="3" t="inlineStr">
        <is>
          <t/>
        </is>
      </c>
      <c r="N57" s="3" t="inlineStr">
        <is>
          <t/>
        </is>
      </c>
      <c r="O57" s="3" t="inlineStr">
        <is>
          <t/>
        </is>
      </c>
      <c r="P57" s="3" t="inlineStr">
        <is>
          <t/>
        </is>
      </c>
      <c r="Q57" s="3" t="inlineStr">
        <is>
          <t/>
        </is>
      </c>
      <c r="R57" s="3" t="inlineStr">
        <is>
          <t/>
        </is>
      </c>
      <c r="S57" s="3" t="inlineStr">
        <is>
          <t/>
        </is>
      </c>
      <c r="T57" s="3" t="inlineStr">
        <is>
          <t/>
        </is>
      </c>
      <c r="U57" s="3" t="inlineStr">
        <is>
          <t/>
        </is>
      </c>
      <c r="V57" s="3" t="inlineStr">
        <is>
          <t/>
        </is>
      </c>
      <c r="W57" s="3" t="inlineStr">
        <is>
          <t/>
        </is>
      </c>
      <c r="X57" s="3" t="inlineStr">
        <is>
          <t/>
        </is>
      </c>
      <c r="Y57" s="3" t="inlineStr">
        <is>
          <t/>
        </is>
      </c>
      <c r="Z57" s="3" t="inlineStr">
        <is>
          <t/>
        </is>
      </c>
      <c r="[57" s="3" t="inlineStr">
        <is>
          <t/>
        </is>
      </c>
      <c r="\57" s="3" t="inlineStr">
        <is>
          <t/>
        </is>
      </c>
      <c r="]57" s="3" t="inlineStr">
        <is>
          <t/>
        </is>
      </c>
      <c r="^57" s="3" t="inlineStr">
        <is>
          <t/>
        </is>
      </c>
      <c r="_57" s="3" t="inlineStr">
        <is>
          <t/>
        </is>
      </c>
      <c r="`57" s="3" t="inlineStr">
        <is>
          <t/>
        </is>
      </c>
      <c r="AG57" s="3" t="inlineStr">
        <is>
          <t>=SUM(B57:AF57)</t>
        </is>
      </c>
      <c r="AH57" s="3" t="inlineStr">
        <is>
          <t>=AG57/8</t>
        </is>
      </c>
    </row>
    <row r="58">
      <c r="A58" t="inlineStr">
        <is>
          <t>=IF('Punonjësit'!A58="","",'Punonjësit'!A58)</t>
        </is>
      </c>
      <c r="B58" s="3" t="inlineStr">
        <is>
          <t/>
        </is>
      </c>
      <c r="C58" s="3" t="inlineStr">
        <is>
          <t/>
        </is>
      </c>
      <c r="D58" s="3" t="inlineStr">
        <is>
          <t/>
        </is>
      </c>
      <c r="E58" s="3" t="inlineStr">
        <is>
          <t/>
        </is>
      </c>
      <c r="F58" s="3" t="inlineStr">
        <is>
          <t/>
        </is>
      </c>
      <c r="G58" s="3" t="inlineStr">
        <is>
          <t/>
        </is>
      </c>
      <c r="H58" s="3" t="inlineStr">
        <is>
          <t/>
        </is>
      </c>
      <c r="I58" s="3" t="inlineStr">
        <is>
          <t/>
        </is>
      </c>
      <c r="J58" s="3" t="inlineStr">
        <is>
          <t/>
        </is>
      </c>
      <c r="K58" s="3" t="inlineStr">
        <is>
          <t/>
        </is>
      </c>
      <c r="L58" s="3" t="inlineStr">
        <is>
          <t/>
        </is>
      </c>
      <c r="M58" s="3" t="inlineStr">
        <is>
          <t/>
        </is>
      </c>
      <c r="N58" s="3" t="inlineStr">
        <is>
          <t/>
        </is>
      </c>
      <c r="O58" s="3" t="inlineStr">
        <is>
          <t/>
        </is>
      </c>
      <c r="P58" s="3" t="inlineStr">
        <is>
          <t/>
        </is>
      </c>
      <c r="Q58" s="3" t="inlineStr">
        <is>
          <t/>
        </is>
      </c>
      <c r="R58" s="3" t="inlineStr">
        <is>
          <t/>
        </is>
      </c>
      <c r="S58" s="3" t="inlineStr">
        <is>
          <t/>
        </is>
      </c>
      <c r="T58" s="3" t="inlineStr">
        <is>
          <t/>
        </is>
      </c>
      <c r="U58" s="3" t="inlineStr">
        <is>
          <t/>
        </is>
      </c>
      <c r="V58" s="3" t="inlineStr">
        <is>
          <t/>
        </is>
      </c>
      <c r="W58" s="3" t="inlineStr">
        <is>
          <t/>
        </is>
      </c>
      <c r="X58" s="3" t="inlineStr">
        <is>
          <t/>
        </is>
      </c>
      <c r="Y58" s="3" t="inlineStr">
        <is>
          <t/>
        </is>
      </c>
      <c r="Z58" s="3" t="inlineStr">
        <is>
          <t/>
        </is>
      </c>
      <c r="[58" s="3" t="inlineStr">
        <is>
          <t/>
        </is>
      </c>
      <c r="\58" s="3" t="inlineStr">
        <is>
          <t/>
        </is>
      </c>
      <c r="]58" s="3" t="inlineStr">
        <is>
          <t/>
        </is>
      </c>
      <c r="^58" s="3" t="inlineStr">
        <is>
          <t/>
        </is>
      </c>
      <c r="_58" s="3" t="inlineStr">
        <is>
          <t/>
        </is>
      </c>
      <c r="`58" s="3" t="inlineStr">
        <is>
          <t/>
        </is>
      </c>
      <c r="AG58" s="3" t="inlineStr">
        <is>
          <t>=SUM(B58:AF58)</t>
        </is>
      </c>
      <c r="AH58" s="3" t="inlineStr">
        <is>
          <t>=AG58/8</t>
        </is>
      </c>
    </row>
    <row r="59">
      <c r="A59" t="inlineStr">
        <is>
          <t>=IF('Punonjësit'!A59="","",'Punonjësit'!A59)</t>
        </is>
      </c>
      <c r="B59" s="3" t="inlineStr">
        <is>
          <t/>
        </is>
      </c>
      <c r="C59" s="3" t="inlineStr">
        <is>
          <t/>
        </is>
      </c>
      <c r="D59" s="3" t="inlineStr">
        <is>
          <t/>
        </is>
      </c>
      <c r="E59" s="3" t="inlineStr">
        <is>
          <t/>
        </is>
      </c>
      <c r="F59" s="3" t="inlineStr">
        <is>
          <t/>
        </is>
      </c>
      <c r="G59" s="3" t="inlineStr">
        <is>
          <t/>
        </is>
      </c>
      <c r="H59" s="3" t="inlineStr">
        <is>
          <t/>
        </is>
      </c>
      <c r="I59" s="3" t="inlineStr">
        <is>
          <t/>
        </is>
      </c>
      <c r="J59" s="3" t="inlineStr">
        <is>
          <t/>
        </is>
      </c>
      <c r="K59" s="3" t="inlineStr">
        <is>
          <t/>
        </is>
      </c>
      <c r="L59" s="3" t="inlineStr">
        <is>
          <t/>
        </is>
      </c>
      <c r="M59" s="3" t="inlineStr">
        <is>
          <t/>
        </is>
      </c>
      <c r="N59" s="3" t="inlineStr">
        <is>
          <t/>
        </is>
      </c>
      <c r="O59" s="3" t="inlineStr">
        <is>
          <t/>
        </is>
      </c>
      <c r="P59" s="3" t="inlineStr">
        <is>
          <t/>
        </is>
      </c>
      <c r="Q59" s="3" t="inlineStr">
        <is>
          <t/>
        </is>
      </c>
      <c r="R59" s="3" t="inlineStr">
        <is>
          <t/>
        </is>
      </c>
      <c r="S59" s="3" t="inlineStr">
        <is>
          <t/>
        </is>
      </c>
      <c r="T59" s="3" t="inlineStr">
        <is>
          <t/>
        </is>
      </c>
      <c r="U59" s="3" t="inlineStr">
        <is>
          <t/>
        </is>
      </c>
      <c r="V59" s="3" t="inlineStr">
        <is>
          <t/>
        </is>
      </c>
      <c r="W59" s="3" t="inlineStr">
        <is>
          <t/>
        </is>
      </c>
      <c r="X59" s="3" t="inlineStr">
        <is>
          <t/>
        </is>
      </c>
      <c r="Y59" s="3" t="inlineStr">
        <is>
          <t/>
        </is>
      </c>
      <c r="Z59" s="3" t="inlineStr">
        <is>
          <t/>
        </is>
      </c>
      <c r="[59" s="3" t="inlineStr">
        <is>
          <t/>
        </is>
      </c>
      <c r="\59" s="3" t="inlineStr">
        <is>
          <t/>
        </is>
      </c>
      <c r="]59" s="3" t="inlineStr">
        <is>
          <t/>
        </is>
      </c>
      <c r="^59" s="3" t="inlineStr">
        <is>
          <t/>
        </is>
      </c>
      <c r="_59" s="3" t="inlineStr">
        <is>
          <t/>
        </is>
      </c>
      <c r="`59" s="3" t="inlineStr">
        <is>
          <t/>
        </is>
      </c>
      <c r="AG59" s="3" t="inlineStr">
        <is>
          <t>=SUM(B59:AF59)</t>
        </is>
      </c>
      <c r="AH59" s="3" t="inlineStr">
        <is>
          <t>=AG59/8</t>
        </is>
      </c>
    </row>
    <row r="60">
      <c r="A60" t="inlineStr">
        <is>
          <t>=IF('Punonjësit'!A60="","",'Punonjësit'!A60)</t>
        </is>
      </c>
      <c r="B60" s="3" t="inlineStr">
        <is>
          <t/>
        </is>
      </c>
      <c r="C60" s="3" t="inlineStr">
        <is>
          <t/>
        </is>
      </c>
      <c r="D60" s="3" t="inlineStr">
        <is>
          <t/>
        </is>
      </c>
      <c r="E60" s="3" t="inlineStr">
        <is>
          <t/>
        </is>
      </c>
      <c r="F60" s="3" t="inlineStr">
        <is>
          <t/>
        </is>
      </c>
      <c r="G60" s="3" t="inlineStr">
        <is>
          <t/>
        </is>
      </c>
      <c r="H60" s="3" t="inlineStr">
        <is>
          <t/>
        </is>
      </c>
      <c r="I60" s="3" t="inlineStr">
        <is>
          <t/>
        </is>
      </c>
      <c r="J60" s="3" t="inlineStr">
        <is>
          <t/>
        </is>
      </c>
      <c r="K60" s="3" t="inlineStr">
        <is>
          <t/>
        </is>
      </c>
      <c r="L60" s="3" t="inlineStr">
        <is>
          <t/>
        </is>
      </c>
      <c r="M60" s="3" t="inlineStr">
        <is>
          <t/>
        </is>
      </c>
      <c r="N60" s="3" t="inlineStr">
        <is>
          <t/>
        </is>
      </c>
      <c r="O60" s="3" t="inlineStr">
        <is>
          <t/>
        </is>
      </c>
      <c r="P60" s="3" t="inlineStr">
        <is>
          <t/>
        </is>
      </c>
      <c r="Q60" s="3" t="inlineStr">
        <is>
          <t/>
        </is>
      </c>
      <c r="R60" s="3" t="inlineStr">
        <is>
          <t/>
        </is>
      </c>
      <c r="S60" s="3" t="inlineStr">
        <is>
          <t/>
        </is>
      </c>
      <c r="T60" s="3" t="inlineStr">
        <is>
          <t/>
        </is>
      </c>
      <c r="U60" s="3" t="inlineStr">
        <is>
          <t/>
        </is>
      </c>
      <c r="V60" s="3" t="inlineStr">
        <is>
          <t/>
        </is>
      </c>
      <c r="W60" s="3" t="inlineStr">
        <is>
          <t/>
        </is>
      </c>
      <c r="X60" s="3" t="inlineStr">
        <is>
          <t/>
        </is>
      </c>
      <c r="Y60" s="3" t="inlineStr">
        <is>
          <t/>
        </is>
      </c>
      <c r="Z60" s="3" t="inlineStr">
        <is>
          <t/>
        </is>
      </c>
      <c r="[60" s="3" t="inlineStr">
        <is>
          <t/>
        </is>
      </c>
      <c r="\60" s="3" t="inlineStr">
        <is>
          <t/>
        </is>
      </c>
      <c r="]60" s="3" t="inlineStr">
        <is>
          <t/>
        </is>
      </c>
      <c r="^60" s="3" t="inlineStr">
        <is>
          <t/>
        </is>
      </c>
      <c r="_60" s="3" t="inlineStr">
        <is>
          <t/>
        </is>
      </c>
      <c r="`60" s="3" t="inlineStr">
        <is>
          <t/>
        </is>
      </c>
      <c r="AG60" s="3" t="inlineStr">
        <is>
          <t>=SUM(B60:AF60)</t>
        </is>
      </c>
      <c r="AH60" s="3" t="inlineStr">
        <is>
          <t>=AG60/8</t>
        </is>
      </c>
    </row>
    <row r="61">
      <c r="A61" t="inlineStr">
        <is>
          <t>=IF('Punonjësit'!A61="","",'Punonjësit'!A61)</t>
        </is>
      </c>
      <c r="B61" s="3" t="inlineStr">
        <is>
          <t/>
        </is>
      </c>
      <c r="C61" s="3" t="inlineStr">
        <is>
          <t/>
        </is>
      </c>
      <c r="D61" s="3" t="inlineStr">
        <is>
          <t/>
        </is>
      </c>
      <c r="E61" s="3" t="inlineStr">
        <is>
          <t/>
        </is>
      </c>
      <c r="F61" s="3" t="inlineStr">
        <is>
          <t/>
        </is>
      </c>
      <c r="G61" s="3" t="inlineStr">
        <is>
          <t/>
        </is>
      </c>
      <c r="H61" s="3" t="inlineStr">
        <is>
          <t/>
        </is>
      </c>
      <c r="I61" s="3" t="inlineStr">
        <is>
          <t/>
        </is>
      </c>
      <c r="J61" s="3" t="inlineStr">
        <is>
          <t/>
        </is>
      </c>
      <c r="K61" s="3" t="inlineStr">
        <is>
          <t/>
        </is>
      </c>
      <c r="L61" s="3" t="inlineStr">
        <is>
          <t/>
        </is>
      </c>
      <c r="M61" s="3" t="inlineStr">
        <is>
          <t/>
        </is>
      </c>
      <c r="N61" s="3" t="inlineStr">
        <is>
          <t/>
        </is>
      </c>
      <c r="O61" s="3" t="inlineStr">
        <is>
          <t/>
        </is>
      </c>
      <c r="P61" s="3" t="inlineStr">
        <is>
          <t/>
        </is>
      </c>
      <c r="Q61" s="3" t="inlineStr">
        <is>
          <t/>
        </is>
      </c>
      <c r="R61" s="3" t="inlineStr">
        <is>
          <t/>
        </is>
      </c>
      <c r="S61" s="3" t="inlineStr">
        <is>
          <t/>
        </is>
      </c>
      <c r="T61" s="3" t="inlineStr">
        <is>
          <t/>
        </is>
      </c>
      <c r="U61" s="3" t="inlineStr">
        <is>
          <t/>
        </is>
      </c>
      <c r="V61" s="3" t="inlineStr">
        <is>
          <t/>
        </is>
      </c>
      <c r="W61" s="3" t="inlineStr">
        <is>
          <t/>
        </is>
      </c>
      <c r="X61" s="3" t="inlineStr">
        <is>
          <t/>
        </is>
      </c>
      <c r="Y61" s="3" t="inlineStr">
        <is>
          <t/>
        </is>
      </c>
      <c r="Z61" s="3" t="inlineStr">
        <is>
          <t/>
        </is>
      </c>
      <c r="[61" s="3" t="inlineStr">
        <is>
          <t/>
        </is>
      </c>
      <c r="\61" s="3" t="inlineStr">
        <is>
          <t/>
        </is>
      </c>
      <c r="]61" s="3" t="inlineStr">
        <is>
          <t/>
        </is>
      </c>
      <c r="^61" s="3" t="inlineStr">
        <is>
          <t/>
        </is>
      </c>
      <c r="_61" s="3" t="inlineStr">
        <is>
          <t/>
        </is>
      </c>
      <c r="`61" s="3" t="inlineStr">
        <is>
          <t/>
        </is>
      </c>
      <c r="AG61" s="3" t="inlineStr">
        <is>
          <t>=SUM(B61:AF61)</t>
        </is>
      </c>
      <c r="AH61" s="3" t="inlineStr">
        <is>
          <t>=AG61/8</t>
        </is>
      </c>
    </row>
    <row r="62">
      <c r="A62" t="inlineStr">
        <is>
          <t>=IF('Punonjësit'!A62="","",'Punonjësit'!A62)</t>
        </is>
      </c>
      <c r="B62" s="3" t="inlineStr">
        <is>
          <t/>
        </is>
      </c>
      <c r="C62" s="3" t="inlineStr">
        <is>
          <t/>
        </is>
      </c>
      <c r="D62" s="3" t="inlineStr">
        <is>
          <t/>
        </is>
      </c>
      <c r="E62" s="3" t="inlineStr">
        <is>
          <t/>
        </is>
      </c>
      <c r="F62" s="3" t="inlineStr">
        <is>
          <t/>
        </is>
      </c>
      <c r="G62" s="3" t="inlineStr">
        <is>
          <t/>
        </is>
      </c>
      <c r="H62" s="3" t="inlineStr">
        <is>
          <t/>
        </is>
      </c>
      <c r="I62" s="3" t="inlineStr">
        <is>
          <t/>
        </is>
      </c>
      <c r="J62" s="3" t="inlineStr">
        <is>
          <t/>
        </is>
      </c>
      <c r="K62" s="3" t="inlineStr">
        <is>
          <t/>
        </is>
      </c>
      <c r="L62" s="3" t="inlineStr">
        <is>
          <t/>
        </is>
      </c>
      <c r="M62" s="3" t="inlineStr">
        <is>
          <t/>
        </is>
      </c>
      <c r="N62" s="3" t="inlineStr">
        <is>
          <t/>
        </is>
      </c>
      <c r="O62" s="3" t="inlineStr">
        <is>
          <t/>
        </is>
      </c>
      <c r="P62" s="3" t="inlineStr">
        <is>
          <t/>
        </is>
      </c>
      <c r="Q62" s="3" t="inlineStr">
        <is>
          <t/>
        </is>
      </c>
      <c r="R62" s="3" t="inlineStr">
        <is>
          <t/>
        </is>
      </c>
      <c r="S62" s="3" t="inlineStr">
        <is>
          <t/>
        </is>
      </c>
      <c r="T62" s="3" t="inlineStr">
        <is>
          <t/>
        </is>
      </c>
      <c r="U62" s="3" t="inlineStr">
        <is>
          <t/>
        </is>
      </c>
      <c r="V62" s="3" t="inlineStr">
        <is>
          <t/>
        </is>
      </c>
      <c r="W62" s="3" t="inlineStr">
        <is>
          <t/>
        </is>
      </c>
      <c r="X62" s="3" t="inlineStr">
        <is>
          <t/>
        </is>
      </c>
      <c r="Y62" s="3" t="inlineStr">
        <is>
          <t/>
        </is>
      </c>
      <c r="Z62" s="3" t="inlineStr">
        <is>
          <t/>
        </is>
      </c>
      <c r="[62" s="3" t="inlineStr">
        <is>
          <t/>
        </is>
      </c>
      <c r="\62" s="3" t="inlineStr">
        <is>
          <t/>
        </is>
      </c>
      <c r="]62" s="3" t="inlineStr">
        <is>
          <t/>
        </is>
      </c>
      <c r="^62" s="3" t="inlineStr">
        <is>
          <t/>
        </is>
      </c>
      <c r="_62" s="3" t="inlineStr">
        <is>
          <t/>
        </is>
      </c>
      <c r="`62" s="3" t="inlineStr">
        <is>
          <t/>
        </is>
      </c>
      <c r="AG62" s="3" t="inlineStr">
        <is>
          <t>=SUM(B62:AF62)</t>
        </is>
      </c>
      <c r="AH62" s="3" t="inlineStr">
        <is>
          <t>=AG62/8</t>
        </is>
      </c>
    </row>
    <row r="63">
      <c r="A63" t="inlineStr">
        <is>
          <t>=IF('Punonjësit'!A63="","",'Punonjësit'!A63)</t>
        </is>
      </c>
      <c r="B63" s="3" t="inlineStr">
        <is>
          <t/>
        </is>
      </c>
      <c r="C63" s="3" t="inlineStr">
        <is>
          <t/>
        </is>
      </c>
      <c r="D63" s="3" t="inlineStr">
        <is>
          <t/>
        </is>
      </c>
      <c r="E63" s="3" t="inlineStr">
        <is>
          <t/>
        </is>
      </c>
      <c r="F63" s="3" t="inlineStr">
        <is>
          <t/>
        </is>
      </c>
      <c r="G63" s="3" t="inlineStr">
        <is>
          <t/>
        </is>
      </c>
      <c r="H63" s="3" t="inlineStr">
        <is>
          <t/>
        </is>
      </c>
      <c r="I63" s="3" t="inlineStr">
        <is>
          <t/>
        </is>
      </c>
      <c r="J63" s="3" t="inlineStr">
        <is>
          <t/>
        </is>
      </c>
      <c r="K63" s="3" t="inlineStr">
        <is>
          <t/>
        </is>
      </c>
      <c r="L63" s="3" t="inlineStr">
        <is>
          <t/>
        </is>
      </c>
      <c r="M63" s="3" t="inlineStr">
        <is>
          <t/>
        </is>
      </c>
      <c r="N63" s="3" t="inlineStr">
        <is>
          <t/>
        </is>
      </c>
      <c r="O63" s="3" t="inlineStr">
        <is>
          <t/>
        </is>
      </c>
      <c r="P63" s="3" t="inlineStr">
        <is>
          <t/>
        </is>
      </c>
      <c r="Q63" s="3" t="inlineStr">
        <is>
          <t/>
        </is>
      </c>
      <c r="R63" s="3" t="inlineStr">
        <is>
          <t/>
        </is>
      </c>
      <c r="S63" s="3" t="inlineStr">
        <is>
          <t/>
        </is>
      </c>
      <c r="T63" s="3" t="inlineStr">
        <is>
          <t/>
        </is>
      </c>
      <c r="U63" s="3" t="inlineStr">
        <is>
          <t/>
        </is>
      </c>
      <c r="V63" s="3" t="inlineStr">
        <is>
          <t/>
        </is>
      </c>
      <c r="W63" s="3" t="inlineStr">
        <is>
          <t/>
        </is>
      </c>
      <c r="X63" s="3" t="inlineStr">
        <is>
          <t/>
        </is>
      </c>
      <c r="Y63" s="3" t="inlineStr">
        <is>
          <t/>
        </is>
      </c>
      <c r="Z63" s="3" t="inlineStr">
        <is>
          <t/>
        </is>
      </c>
      <c r="[63" s="3" t="inlineStr">
        <is>
          <t/>
        </is>
      </c>
      <c r="\63" s="3" t="inlineStr">
        <is>
          <t/>
        </is>
      </c>
      <c r="]63" s="3" t="inlineStr">
        <is>
          <t/>
        </is>
      </c>
      <c r="^63" s="3" t="inlineStr">
        <is>
          <t/>
        </is>
      </c>
      <c r="_63" s="3" t="inlineStr">
        <is>
          <t/>
        </is>
      </c>
      <c r="`63" s="3" t="inlineStr">
        <is>
          <t/>
        </is>
      </c>
      <c r="AG63" s="3" t="inlineStr">
        <is>
          <t>=SUM(B63:AF63)</t>
        </is>
      </c>
      <c r="AH63" s="3" t="inlineStr">
        <is>
          <t>=AG63/8</t>
        </is>
      </c>
    </row>
    <row r="64">
      <c r="A64" t="inlineStr">
        <is>
          <t>=IF('Punonjësit'!A64="","",'Punonjësit'!A64)</t>
        </is>
      </c>
      <c r="B64" s="3" t="inlineStr">
        <is>
          <t/>
        </is>
      </c>
      <c r="C64" s="3" t="inlineStr">
        <is>
          <t/>
        </is>
      </c>
      <c r="D64" s="3" t="inlineStr">
        <is>
          <t/>
        </is>
      </c>
      <c r="E64" s="3" t="inlineStr">
        <is>
          <t/>
        </is>
      </c>
      <c r="F64" s="3" t="inlineStr">
        <is>
          <t/>
        </is>
      </c>
      <c r="G64" s="3" t="inlineStr">
        <is>
          <t/>
        </is>
      </c>
      <c r="H64" s="3" t="inlineStr">
        <is>
          <t/>
        </is>
      </c>
      <c r="I64" s="3" t="inlineStr">
        <is>
          <t/>
        </is>
      </c>
      <c r="J64" s="3" t="inlineStr">
        <is>
          <t/>
        </is>
      </c>
      <c r="K64" s="3" t="inlineStr">
        <is>
          <t/>
        </is>
      </c>
      <c r="L64" s="3" t="inlineStr">
        <is>
          <t/>
        </is>
      </c>
      <c r="M64" s="3" t="inlineStr">
        <is>
          <t/>
        </is>
      </c>
      <c r="N64" s="3" t="inlineStr">
        <is>
          <t/>
        </is>
      </c>
      <c r="O64" s="3" t="inlineStr">
        <is>
          <t/>
        </is>
      </c>
      <c r="P64" s="3" t="inlineStr">
        <is>
          <t/>
        </is>
      </c>
      <c r="Q64" s="3" t="inlineStr">
        <is>
          <t/>
        </is>
      </c>
      <c r="R64" s="3" t="inlineStr">
        <is>
          <t/>
        </is>
      </c>
      <c r="S64" s="3" t="inlineStr">
        <is>
          <t/>
        </is>
      </c>
      <c r="T64" s="3" t="inlineStr">
        <is>
          <t/>
        </is>
      </c>
      <c r="U64" s="3" t="inlineStr">
        <is>
          <t/>
        </is>
      </c>
      <c r="V64" s="3" t="inlineStr">
        <is>
          <t/>
        </is>
      </c>
      <c r="W64" s="3" t="inlineStr">
        <is>
          <t/>
        </is>
      </c>
      <c r="X64" s="3" t="inlineStr">
        <is>
          <t/>
        </is>
      </c>
      <c r="Y64" s="3" t="inlineStr">
        <is>
          <t/>
        </is>
      </c>
      <c r="Z64" s="3" t="inlineStr">
        <is>
          <t/>
        </is>
      </c>
      <c r="[64" s="3" t="inlineStr">
        <is>
          <t/>
        </is>
      </c>
      <c r="\64" s="3" t="inlineStr">
        <is>
          <t/>
        </is>
      </c>
      <c r="]64" s="3" t="inlineStr">
        <is>
          <t/>
        </is>
      </c>
      <c r="^64" s="3" t="inlineStr">
        <is>
          <t/>
        </is>
      </c>
      <c r="_64" s="3" t="inlineStr">
        <is>
          <t/>
        </is>
      </c>
      <c r="`64" s="3" t="inlineStr">
        <is>
          <t/>
        </is>
      </c>
      <c r="AG64" s="3" t="inlineStr">
        <is>
          <t>=SUM(B64:AF64)</t>
        </is>
      </c>
      <c r="AH64" s="3" t="inlineStr">
        <is>
          <t>=AG64/8</t>
        </is>
      </c>
    </row>
    <row r="65">
      <c r="A65" t="inlineStr">
        <is>
          <t>=IF('Punonjësit'!A65="","",'Punonjësit'!A65)</t>
        </is>
      </c>
      <c r="B65" s="3" t="inlineStr">
        <is>
          <t/>
        </is>
      </c>
      <c r="C65" s="3" t="inlineStr">
        <is>
          <t/>
        </is>
      </c>
      <c r="D65" s="3" t="inlineStr">
        <is>
          <t/>
        </is>
      </c>
      <c r="E65" s="3" t="inlineStr">
        <is>
          <t/>
        </is>
      </c>
      <c r="F65" s="3" t="inlineStr">
        <is>
          <t/>
        </is>
      </c>
      <c r="G65" s="3" t="inlineStr">
        <is>
          <t/>
        </is>
      </c>
      <c r="H65" s="3" t="inlineStr">
        <is>
          <t/>
        </is>
      </c>
      <c r="I65" s="3" t="inlineStr">
        <is>
          <t/>
        </is>
      </c>
      <c r="J65" s="3" t="inlineStr">
        <is>
          <t/>
        </is>
      </c>
      <c r="K65" s="3" t="inlineStr">
        <is>
          <t/>
        </is>
      </c>
      <c r="L65" s="3" t="inlineStr">
        <is>
          <t/>
        </is>
      </c>
      <c r="M65" s="3" t="inlineStr">
        <is>
          <t/>
        </is>
      </c>
      <c r="N65" s="3" t="inlineStr">
        <is>
          <t/>
        </is>
      </c>
      <c r="O65" s="3" t="inlineStr">
        <is>
          <t/>
        </is>
      </c>
      <c r="P65" s="3" t="inlineStr">
        <is>
          <t/>
        </is>
      </c>
      <c r="Q65" s="3" t="inlineStr">
        <is>
          <t/>
        </is>
      </c>
      <c r="R65" s="3" t="inlineStr">
        <is>
          <t/>
        </is>
      </c>
      <c r="S65" s="3" t="inlineStr">
        <is>
          <t/>
        </is>
      </c>
      <c r="T65" s="3" t="inlineStr">
        <is>
          <t/>
        </is>
      </c>
      <c r="U65" s="3" t="inlineStr">
        <is>
          <t/>
        </is>
      </c>
      <c r="V65" s="3" t="inlineStr">
        <is>
          <t/>
        </is>
      </c>
      <c r="W65" s="3" t="inlineStr">
        <is>
          <t/>
        </is>
      </c>
      <c r="X65" s="3" t="inlineStr">
        <is>
          <t/>
        </is>
      </c>
      <c r="Y65" s="3" t="inlineStr">
        <is>
          <t/>
        </is>
      </c>
      <c r="Z65" s="3" t="inlineStr">
        <is>
          <t/>
        </is>
      </c>
      <c r="[65" s="3" t="inlineStr">
        <is>
          <t/>
        </is>
      </c>
      <c r="\65" s="3" t="inlineStr">
        <is>
          <t/>
        </is>
      </c>
      <c r="]65" s="3" t="inlineStr">
        <is>
          <t/>
        </is>
      </c>
      <c r="^65" s="3" t="inlineStr">
        <is>
          <t/>
        </is>
      </c>
      <c r="_65" s="3" t="inlineStr">
        <is>
          <t/>
        </is>
      </c>
      <c r="`65" s="3" t="inlineStr">
        <is>
          <t/>
        </is>
      </c>
      <c r="AG65" s="3" t="inlineStr">
        <is>
          <t>=SUM(B65:AF65)</t>
        </is>
      </c>
      <c r="AH65" s="3" t="inlineStr">
        <is>
          <t>=AG65/8</t>
        </is>
      </c>
    </row>
    <row r="66">
      <c r="A66" t="inlineStr">
        <is>
          <t>=IF('Punonjësit'!A66="","",'Punonjësit'!A66)</t>
        </is>
      </c>
      <c r="B66" s="3" t="inlineStr">
        <is>
          <t/>
        </is>
      </c>
      <c r="C66" s="3" t="inlineStr">
        <is>
          <t/>
        </is>
      </c>
      <c r="D66" s="3" t="inlineStr">
        <is>
          <t/>
        </is>
      </c>
      <c r="E66" s="3" t="inlineStr">
        <is>
          <t/>
        </is>
      </c>
      <c r="F66" s="3" t="inlineStr">
        <is>
          <t/>
        </is>
      </c>
      <c r="G66" s="3" t="inlineStr">
        <is>
          <t/>
        </is>
      </c>
      <c r="H66" s="3" t="inlineStr">
        <is>
          <t/>
        </is>
      </c>
      <c r="I66" s="3" t="inlineStr">
        <is>
          <t/>
        </is>
      </c>
      <c r="J66" s="3" t="inlineStr">
        <is>
          <t/>
        </is>
      </c>
      <c r="K66" s="3" t="inlineStr">
        <is>
          <t/>
        </is>
      </c>
      <c r="L66" s="3" t="inlineStr">
        <is>
          <t/>
        </is>
      </c>
      <c r="M66" s="3" t="inlineStr">
        <is>
          <t/>
        </is>
      </c>
      <c r="N66" s="3" t="inlineStr">
        <is>
          <t/>
        </is>
      </c>
      <c r="O66" s="3" t="inlineStr">
        <is>
          <t/>
        </is>
      </c>
      <c r="P66" s="3" t="inlineStr">
        <is>
          <t/>
        </is>
      </c>
      <c r="Q66" s="3" t="inlineStr">
        <is>
          <t/>
        </is>
      </c>
      <c r="R66" s="3" t="inlineStr">
        <is>
          <t/>
        </is>
      </c>
      <c r="S66" s="3" t="inlineStr">
        <is>
          <t/>
        </is>
      </c>
      <c r="T66" s="3" t="inlineStr">
        <is>
          <t/>
        </is>
      </c>
      <c r="U66" s="3" t="inlineStr">
        <is>
          <t/>
        </is>
      </c>
      <c r="V66" s="3" t="inlineStr">
        <is>
          <t/>
        </is>
      </c>
      <c r="W66" s="3" t="inlineStr">
        <is>
          <t/>
        </is>
      </c>
      <c r="X66" s="3" t="inlineStr">
        <is>
          <t/>
        </is>
      </c>
      <c r="Y66" s="3" t="inlineStr">
        <is>
          <t/>
        </is>
      </c>
      <c r="Z66" s="3" t="inlineStr">
        <is>
          <t/>
        </is>
      </c>
      <c r="[66" s="3" t="inlineStr">
        <is>
          <t/>
        </is>
      </c>
      <c r="\66" s="3" t="inlineStr">
        <is>
          <t/>
        </is>
      </c>
      <c r="]66" s="3" t="inlineStr">
        <is>
          <t/>
        </is>
      </c>
      <c r="^66" s="3" t="inlineStr">
        <is>
          <t/>
        </is>
      </c>
      <c r="_66" s="3" t="inlineStr">
        <is>
          <t/>
        </is>
      </c>
      <c r="`66" s="3" t="inlineStr">
        <is>
          <t/>
        </is>
      </c>
      <c r="AG66" s="3" t="inlineStr">
        <is>
          <t>=SUM(B66:AF66)</t>
        </is>
      </c>
      <c r="AH66" s="3" t="inlineStr">
        <is>
          <t>=AG66/8</t>
        </is>
      </c>
    </row>
    <row r="67">
      <c r="A67" t="inlineStr">
        <is>
          <t>=IF('Punonjësit'!A67="","",'Punonjësit'!A67)</t>
        </is>
      </c>
      <c r="B67" s="3" t="inlineStr">
        <is>
          <t/>
        </is>
      </c>
      <c r="C67" s="3" t="inlineStr">
        <is>
          <t/>
        </is>
      </c>
      <c r="D67" s="3" t="inlineStr">
        <is>
          <t/>
        </is>
      </c>
      <c r="E67" s="3" t="inlineStr">
        <is>
          <t/>
        </is>
      </c>
      <c r="F67" s="3" t="inlineStr">
        <is>
          <t/>
        </is>
      </c>
      <c r="G67" s="3" t="inlineStr">
        <is>
          <t/>
        </is>
      </c>
      <c r="H67" s="3" t="inlineStr">
        <is>
          <t/>
        </is>
      </c>
      <c r="I67" s="3" t="inlineStr">
        <is>
          <t/>
        </is>
      </c>
      <c r="J67" s="3" t="inlineStr">
        <is>
          <t/>
        </is>
      </c>
      <c r="K67" s="3" t="inlineStr">
        <is>
          <t/>
        </is>
      </c>
      <c r="L67" s="3" t="inlineStr">
        <is>
          <t/>
        </is>
      </c>
      <c r="M67" s="3" t="inlineStr">
        <is>
          <t/>
        </is>
      </c>
      <c r="N67" s="3" t="inlineStr">
        <is>
          <t/>
        </is>
      </c>
      <c r="O67" s="3" t="inlineStr">
        <is>
          <t/>
        </is>
      </c>
      <c r="P67" s="3" t="inlineStr">
        <is>
          <t/>
        </is>
      </c>
      <c r="Q67" s="3" t="inlineStr">
        <is>
          <t/>
        </is>
      </c>
      <c r="R67" s="3" t="inlineStr">
        <is>
          <t/>
        </is>
      </c>
      <c r="S67" s="3" t="inlineStr">
        <is>
          <t/>
        </is>
      </c>
      <c r="T67" s="3" t="inlineStr">
        <is>
          <t/>
        </is>
      </c>
      <c r="U67" s="3" t="inlineStr">
        <is>
          <t/>
        </is>
      </c>
      <c r="V67" s="3" t="inlineStr">
        <is>
          <t/>
        </is>
      </c>
      <c r="W67" s="3" t="inlineStr">
        <is>
          <t/>
        </is>
      </c>
      <c r="X67" s="3" t="inlineStr">
        <is>
          <t/>
        </is>
      </c>
      <c r="Y67" s="3" t="inlineStr">
        <is>
          <t/>
        </is>
      </c>
      <c r="Z67" s="3" t="inlineStr">
        <is>
          <t/>
        </is>
      </c>
      <c r="[67" s="3" t="inlineStr">
        <is>
          <t/>
        </is>
      </c>
      <c r="\67" s="3" t="inlineStr">
        <is>
          <t/>
        </is>
      </c>
      <c r="]67" s="3" t="inlineStr">
        <is>
          <t/>
        </is>
      </c>
      <c r="^67" s="3" t="inlineStr">
        <is>
          <t/>
        </is>
      </c>
      <c r="_67" s="3" t="inlineStr">
        <is>
          <t/>
        </is>
      </c>
      <c r="`67" s="3" t="inlineStr">
        <is>
          <t/>
        </is>
      </c>
      <c r="AG67" s="3" t="inlineStr">
        <is>
          <t>=SUM(B67:AF67)</t>
        </is>
      </c>
      <c r="AH67" s="3" t="inlineStr">
        <is>
          <t>=AG67/8</t>
        </is>
      </c>
    </row>
    <row r="68">
      <c r="A68" t="inlineStr">
        <is>
          <t>=IF('Punonjësit'!A68="","",'Punonjësit'!A68)</t>
        </is>
      </c>
      <c r="B68" s="3" t="inlineStr">
        <is>
          <t/>
        </is>
      </c>
      <c r="C68" s="3" t="inlineStr">
        <is>
          <t/>
        </is>
      </c>
      <c r="D68" s="3" t="inlineStr">
        <is>
          <t/>
        </is>
      </c>
      <c r="E68" s="3" t="inlineStr">
        <is>
          <t/>
        </is>
      </c>
      <c r="F68" s="3" t="inlineStr">
        <is>
          <t/>
        </is>
      </c>
      <c r="G68" s="3" t="inlineStr">
        <is>
          <t/>
        </is>
      </c>
      <c r="H68" s="3" t="inlineStr">
        <is>
          <t/>
        </is>
      </c>
      <c r="I68" s="3" t="inlineStr">
        <is>
          <t/>
        </is>
      </c>
      <c r="J68" s="3" t="inlineStr">
        <is>
          <t/>
        </is>
      </c>
      <c r="K68" s="3" t="inlineStr">
        <is>
          <t/>
        </is>
      </c>
      <c r="L68" s="3" t="inlineStr">
        <is>
          <t/>
        </is>
      </c>
      <c r="M68" s="3" t="inlineStr">
        <is>
          <t/>
        </is>
      </c>
      <c r="N68" s="3" t="inlineStr">
        <is>
          <t/>
        </is>
      </c>
      <c r="O68" s="3" t="inlineStr">
        <is>
          <t/>
        </is>
      </c>
      <c r="P68" s="3" t="inlineStr">
        <is>
          <t/>
        </is>
      </c>
      <c r="Q68" s="3" t="inlineStr">
        <is>
          <t/>
        </is>
      </c>
      <c r="R68" s="3" t="inlineStr">
        <is>
          <t/>
        </is>
      </c>
      <c r="S68" s="3" t="inlineStr">
        <is>
          <t/>
        </is>
      </c>
      <c r="T68" s="3" t="inlineStr">
        <is>
          <t/>
        </is>
      </c>
      <c r="U68" s="3" t="inlineStr">
        <is>
          <t/>
        </is>
      </c>
      <c r="V68" s="3" t="inlineStr">
        <is>
          <t/>
        </is>
      </c>
      <c r="W68" s="3" t="inlineStr">
        <is>
          <t/>
        </is>
      </c>
      <c r="X68" s="3" t="inlineStr">
        <is>
          <t/>
        </is>
      </c>
      <c r="Y68" s="3" t="inlineStr">
        <is>
          <t/>
        </is>
      </c>
      <c r="Z68" s="3" t="inlineStr">
        <is>
          <t/>
        </is>
      </c>
      <c r="[68" s="3" t="inlineStr">
        <is>
          <t/>
        </is>
      </c>
      <c r="\68" s="3" t="inlineStr">
        <is>
          <t/>
        </is>
      </c>
      <c r="]68" s="3" t="inlineStr">
        <is>
          <t/>
        </is>
      </c>
      <c r="^68" s="3" t="inlineStr">
        <is>
          <t/>
        </is>
      </c>
      <c r="_68" s="3" t="inlineStr">
        <is>
          <t/>
        </is>
      </c>
      <c r="`68" s="3" t="inlineStr">
        <is>
          <t/>
        </is>
      </c>
      <c r="AG68" s="3" t="inlineStr">
        <is>
          <t>=SUM(B68:AF68)</t>
        </is>
      </c>
      <c r="AH68" s="3" t="inlineStr">
        <is>
          <t>=AG68/8</t>
        </is>
      </c>
    </row>
    <row r="69">
      <c r="A69" t="inlineStr">
        <is>
          <t>=IF('Punonjësit'!A69="","",'Punonjësit'!A69)</t>
        </is>
      </c>
      <c r="B69" s="3" t="inlineStr">
        <is>
          <t/>
        </is>
      </c>
      <c r="C69" s="3" t="inlineStr">
        <is>
          <t/>
        </is>
      </c>
      <c r="D69" s="3" t="inlineStr">
        <is>
          <t/>
        </is>
      </c>
      <c r="E69" s="3" t="inlineStr">
        <is>
          <t/>
        </is>
      </c>
      <c r="F69" s="3" t="inlineStr">
        <is>
          <t/>
        </is>
      </c>
      <c r="G69" s="3" t="inlineStr">
        <is>
          <t/>
        </is>
      </c>
      <c r="H69" s="3" t="inlineStr">
        <is>
          <t/>
        </is>
      </c>
      <c r="I69" s="3" t="inlineStr">
        <is>
          <t/>
        </is>
      </c>
      <c r="J69" s="3" t="inlineStr">
        <is>
          <t/>
        </is>
      </c>
      <c r="K69" s="3" t="inlineStr">
        <is>
          <t/>
        </is>
      </c>
      <c r="L69" s="3" t="inlineStr">
        <is>
          <t/>
        </is>
      </c>
      <c r="M69" s="3" t="inlineStr">
        <is>
          <t/>
        </is>
      </c>
      <c r="N69" s="3" t="inlineStr">
        <is>
          <t/>
        </is>
      </c>
      <c r="O69" s="3" t="inlineStr">
        <is>
          <t/>
        </is>
      </c>
      <c r="P69" s="3" t="inlineStr">
        <is>
          <t/>
        </is>
      </c>
      <c r="Q69" s="3" t="inlineStr">
        <is>
          <t/>
        </is>
      </c>
      <c r="R69" s="3" t="inlineStr">
        <is>
          <t/>
        </is>
      </c>
      <c r="S69" s="3" t="inlineStr">
        <is>
          <t/>
        </is>
      </c>
      <c r="T69" s="3" t="inlineStr">
        <is>
          <t/>
        </is>
      </c>
      <c r="U69" s="3" t="inlineStr">
        <is>
          <t/>
        </is>
      </c>
      <c r="V69" s="3" t="inlineStr">
        <is>
          <t/>
        </is>
      </c>
      <c r="W69" s="3" t="inlineStr">
        <is>
          <t/>
        </is>
      </c>
      <c r="X69" s="3" t="inlineStr">
        <is>
          <t/>
        </is>
      </c>
      <c r="Y69" s="3" t="inlineStr">
        <is>
          <t/>
        </is>
      </c>
      <c r="Z69" s="3" t="inlineStr">
        <is>
          <t/>
        </is>
      </c>
      <c r="[69" s="3" t="inlineStr">
        <is>
          <t/>
        </is>
      </c>
      <c r="\69" s="3" t="inlineStr">
        <is>
          <t/>
        </is>
      </c>
      <c r="]69" s="3" t="inlineStr">
        <is>
          <t/>
        </is>
      </c>
      <c r="^69" s="3" t="inlineStr">
        <is>
          <t/>
        </is>
      </c>
      <c r="_69" s="3" t="inlineStr">
        <is>
          <t/>
        </is>
      </c>
      <c r="`69" s="3" t="inlineStr">
        <is>
          <t/>
        </is>
      </c>
      <c r="AG69" s="3" t="inlineStr">
        <is>
          <t>=SUM(B69:AF69)</t>
        </is>
      </c>
      <c r="AH69" s="3" t="inlineStr">
        <is>
          <t>=AG69/8</t>
        </is>
      </c>
    </row>
    <row r="70">
      <c r="A70" t="inlineStr">
        <is>
          <t>=IF('Punonjësit'!A70="","",'Punonjësit'!A70)</t>
        </is>
      </c>
      <c r="B70" s="3" t="inlineStr">
        <is>
          <t/>
        </is>
      </c>
      <c r="C70" s="3" t="inlineStr">
        <is>
          <t/>
        </is>
      </c>
      <c r="D70" s="3" t="inlineStr">
        <is>
          <t/>
        </is>
      </c>
      <c r="E70" s="3" t="inlineStr">
        <is>
          <t/>
        </is>
      </c>
      <c r="F70" s="3" t="inlineStr">
        <is>
          <t/>
        </is>
      </c>
      <c r="G70" s="3" t="inlineStr">
        <is>
          <t/>
        </is>
      </c>
      <c r="H70" s="3" t="inlineStr">
        <is>
          <t/>
        </is>
      </c>
      <c r="I70" s="3" t="inlineStr">
        <is>
          <t/>
        </is>
      </c>
      <c r="J70" s="3" t="inlineStr">
        <is>
          <t/>
        </is>
      </c>
      <c r="K70" s="3" t="inlineStr">
        <is>
          <t/>
        </is>
      </c>
      <c r="L70" s="3" t="inlineStr">
        <is>
          <t/>
        </is>
      </c>
      <c r="M70" s="3" t="inlineStr">
        <is>
          <t/>
        </is>
      </c>
      <c r="N70" s="3" t="inlineStr">
        <is>
          <t/>
        </is>
      </c>
      <c r="O70" s="3" t="inlineStr">
        <is>
          <t/>
        </is>
      </c>
      <c r="P70" s="3" t="inlineStr">
        <is>
          <t/>
        </is>
      </c>
      <c r="Q70" s="3" t="inlineStr">
        <is>
          <t/>
        </is>
      </c>
      <c r="R70" s="3" t="inlineStr">
        <is>
          <t/>
        </is>
      </c>
      <c r="S70" s="3" t="inlineStr">
        <is>
          <t/>
        </is>
      </c>
      <c r="T70" s="3" t="inlineStr">
        <is>
          <t/>
        </is>
      </c>
      <c r="U70" s="3" t="inlineStr">
        <is>
          <t/>
        </is>
      </c>
      <c r="V70" s="3" t="inlineStr">
        <is>
          <t/>
        </is>
      </c>
      <c r="W70" s="3" t="inlineStr">
        <is>
          <t/>
        </is>
      </c>
      <c r="X70" s="3" t="inlineStr">
        <is>
          <t/>
        </is>
      </c>
      <c r="Y70" s="3" t="inlineStr">
        <is>
          <t/>
        </is>
      </c>
      <c r="Z70" s="3" t="inlineStr">
        <is>
          <t/>
        </is>
      </c>
      <c r="[70" s="3" t="inlineStr">
        <is>
          <t/>
        </is>
      </c>
      <c r="\70" s="3" t="inlineStr">
        <is>
          <t/>
        </is>
      </c>
      <c r="]70" s="3" t="inlineStr">
        <is>
          <t/>
        </is>
      </c>
      <c r="^70" s="3" t="inlineStr">
        <is>
          <t/>
        </is>
      </c>
      <c r="_70" s="3" t="inlineStr">
        <is>
          <t/>
        </is>
      </c>
      <c r="`70" s="3" t="inlineStr">
        <is>
          <t/>
        </is>
      </c>
      <c r="AG70" s="3" t="inlineStr">
        <is>
          <t>=SUM(B70:AF70)</t>
        </is>
      </c>
      <c r="AH70" s="3" t="inlineStr">
        <is>
          <t>=AG70/8</t>
        </is>
      </c>
    </row>
    <row r="71">
      <c r="A71" t="inlineStr">
        <is>
          <t>=IF('Punonjësit'!A71="","",'Punonjësit'!A71)</t>
        </is>
      </c>
      <c r="B71" s="3" t="inlineStr">
        <is>
          <t/>
        </is>
      </c>
      <c r="C71" s="3" t="inlineStr">
        <is>
          <t/>
        </is>
      </c>
      <c r="D71" s="3" t="inlineStr">
        <is>
          <t/>
        </is>
      </c>
      <c r="E71" s="3" t="inlineStr">
        <is>
          <t/>
        </is>
      </c>
      <c r="F71" s="3" t="inlineStr">
        <is>
          <t/>
        </is>
      </c>
      <c r="G71" s="3" t="inlineStr">
        <is>
          <t/>
        </is>
      </c>
      <c r="H71" s="3" t="inlineStr">
        <is>
          <t/>
        </is>
      </c>
      <c r="I71" s="3" t="inlineStr">
        <is>
          <t/>
        </is>
      </c>
      <c r="J71" s="3" t="inlineStr">
        <is>
          <t/>
        </is>
      </c>
      <c r="K71" s="3" t="inlineStr">
        <is>
          <t/>
        </is>
      </c>
      <c r="L71" s="3" t="inlineStr">
        <is>
          <t/>
        </is>
      </c>
      <c r="M71" s="3" t="inlineStr">
        <is>
          <t/>
        </is>
      </c>
      <c r="N71" s="3" t="inlineStr">
        <is>
          <t/>
        </is>
      </c>
      <c r="O71" s="3" t="inlineStr">
        <is>
          <t/>
        </is>
      </c>
      <c r="P71" s="3" t="inlineStr">
        <is>
          <t/>
        </is>
      </c>
      <c r="Q71" s="3" t="inlineStr">
        <is>
          <t/>
        </is>
      </c>
      <c r="R71" s="3" t="inlineStr">
        <is>
          <t/>
        </is>
      </c>
      <c r="S71" s="3" t="inlineStr">
        <is>
          <t/>
        </is>
      </c>
      <c r="T71" s="3" t="inlineStr">
        <is>
          <t/>
        </is>
      </c>
      <c r="U71" s="3" t="inlineStr">
        <is>
          <t/>
        </is>
      </c>
      <c r="V71" s="3" t="inlineStr">
        <is>
          <t/>
        </is>
      </c>
      <c r="W71" s="3" t="inlineStr">
        <is>
          <t/>
        </is>
      </c>
      <c r="X71" s="3" t="inlineStr">
        <is>
          <t/>
        </is>
      </c>
      <c r="Y71" s="3" t="inlineStr">
        <is>
          <t/>
        </is>
      </c>
      <c r="Z71" s="3" t="inlineStr">
        <is>
          <t/>
        </is>
      </c>
      <c r="[71" s="3" t="inlineStr">
        <is>
          <t/>
        </is>
      </c>
      <c r="\71" s="3" t="inlineStr">
        <is>
          <t/>
        </is>
      </c>
      <c r="]71" s="3" t="inlineStr">
        <is>
          <t/>
        </is>
      </c>
      <c r="^71" s="3" t="inlineStr">
        <is>
          <t/>
        </is>
      </c>
      <c r="_71" s="3" t="inlineStr">
        <is>
          <t/>
        </is>
      </c>
      <c r="`71" s="3" t="inlineStr">
        <is>
          <t/>
        </is>
      </c>
      <c r="AG71" s="3" t="inlineStr">
        <is>
          <t>=SUM(B71:AF71)</t>
        </is>
      </c>
      <c r="AH71" s="3" t="inlineStr">
        <is>
          <t>=AG71/8</t>
        </is>
      </c>
    </row>
    <row r="72">
      <c r="A72" t="inlineStr">
        <is>
          <t>=IF('Punonjësit'!A72="","",'Punonjësit'!A72)</t>
        </is>
      </c>
      <c r="B72" s="3" t="inlineStr">
        <is>
          <t/>
        </is>
      </c>
      <c r="C72" s="3" t="inlineStr">
        <is>
          <t/>
        </is>
      </c>
      <c r="D72" s="3" t="inlineStr">
        <is>
          <t/>
        </is>
      </c>
      <c r="E72" s="3" t="inlineStr">
        <is>
          <t/>
        </is>
      </c>
      <c r="F72" s="3" t="inlineStr">
        <is>
          <t/>
        </is>
      </c>
      <c r="G72" s="3" t="inlineStr">
        <is>
          <t/>
        </is>
      </c>
      <c r="H72" s="3" t="inlineStr">
        <is>
          <t/>
        </is>
      </c>
      <c r="I72" s="3" t="inlineStr">
        <is>
          <t/>
        </is>
      </c>
      <c r="J72" s="3" t="inlineStr">
        <is>
          <t/>
        </is>
      </c>
      <c r="K72" s="3" t="inlineStr">
        <is>
          <t/>
        </is>
      </c>
      <c r="L72" s="3" t="inlineStr">
        <is>
          <t/>
        </is>
      </c>
      <c r="M72" s="3" t="inlineStr">
        <is>
          <t/>
        </is>
      </c>
      <c r="N72" s="3" t="inlineStr">
        <is>
          <t/>
        </is>
      </c>
      <c r="O72" s="3" t="inlineStr">
        <is>
          <t/>
        </is>
      </c>
      <c r="P72" s="3" t="inlineStr">
        <is>
          <t/>
        </is>
      </c>
      <c r="Q72" s="3" t="inlineStr">
        <is>
          <t/>
        </is>
      </c>
      <c r="R72" s="3" t="inlineStr">
        <is>
          <t/>
        </is>
      </c>
      <c r="S72" s="3" t="inlineStr">
        <is>
          <t/>
        </is>
      </c>
      <c r="T72" s="3" t="inlineStr">
        <is>
          <t/>
        </is>
      </c>
      <c r="U72" s="3" t="inlineStr">
        <is>
          <t/>
        </is>
      </c>
      <c r="V72" s="3" t="inlineStr">
        <is>
          <t/>
        </is>
      </c>
      <c r="W72" s="3" t="inlineStr">
        <is>
          <t/>
        </is>
      </c>
      <c r="X72" s="3" t="inlineStr">
        <is>
          <t/>
        </is>
      </c>
      <c r="Y72" s="3" t="inlineStr">
        <is>
          <t/>
        </is>
      </c>
      <c r="Z72" s="3" t="inlineStr">
        <is>
          <t/>
        </is>
      </c>
      <c r="[72" s="3" t="inlineStr">
        <is>
          <t/>
        </is>
      </c>
      <c r="\72" s="3" t="inlineStr">
        <is>
          <t/>
        </is>
      </c>
      <c r="]72" s="3" t="inlineStr">
        <is>
          <t/>
        </is>
      </c>
      <c r="^72" s="3" t="inlineStr">
        <is>
          <t/>
        </is>
      </c>
      <c r="_72" s="3" t="inlineStr">
        <is>
          <t/>
        </is>
      </c>
      <c r="`72" s="3" t="inlineStr">
        <is>
          <t/>
        </is>
      </c>
      <c r="AG72" s="3" t="inlineStr">
        <is>
          <t>=SUM(B72:AF72)</t>
        </is>
      </c>
      <c r="AH72" s="3" t="inlineStr">
        <is>
          <t>=AG72/8</t>
        </is>
      </c>
    </row>
    <row r="73">
      <c r="A73" t="inlineStr">
        <is>
          <t>=IF('Punonjësit'!A73="","",'Punonjësit'!A73)</t>
        </is>
      </c>
      <c r="B73" s="3" t="inlineStr">
        <is>
          <t/>
        </is>
      </c>
      <c r="C73" s="3" t="inlineStr">
        <is>
          <t/>
        </is>
      </c>
      <c r="D73" s="3" t="inlineStr">
        <is>
          <t/>
        </is>
      </c>
      <c r="E73" s="3" t="inlineStr">
        <is>
          <t/>
        </is>
      </c>
      <c r="F73" s="3" t="inlineStr">
        <is>
          <t/>
        </is>
      </c>
      <c r="G73" s="3" t="inlineStr">
        <is>
          <t/>
        </is>
      </c>
      <c r="H73" s="3" t="inlineStr">
        <is>
          <t/>
        </is>
      </c>
      <c r="I73" s="3" t="inlineStr">
        <is>
          <t/>
        </is>
      </c>
      <c r="J73" s="3" t="inlineStr">
        <is>
          <t/>
        </is>
      </c>
      <c r="K73" s="3" t="inlineStr">
        <is>
          <t/>
        </is>
      </c>
      <c r="L73" s="3" t="inlineStr">
        <is>
          <t/>
        </is>
      </c>
      <c r="M73" s="3" t="inlineStr">
        <is>
          <t/>
        </is>
      </c>
      <c r="N73" s="3" t="inlineStr">
        <is>
          <t/>
        </is>
      </c>
      <c r="O73" s="3" t="inlineStr">
        <is>
          <t/>
        </is>
      </c>
      <c r="P73" s="3" t="inlineStr">
        <is>
          <t/>
        </is>
      </c>
      <c r="Q73" s="3" t="inlineStr">
        <is>
          <t/>
        </is>
      </c>
      <c r="R73" s="3" t="inlineStr">
        <is>
          <t/>
        </is>
      </c>
      <c r="S73" s="3" t="inlineStr">
        <is>
          <t/>
        </is>
      </c>
      <c r="T73" s="3" t="inlineStr">
        <is>
          <t/>
        </is>
      </c>
      <c r="U73" s="3" t="inlineStr">
        <is>
          <t/>
        </is>
      </c>
      <c r="V73" s="3" t="inlineStr">
        <is>
          <t/>
        </is>
      </c>
      <c r="W73" s="3" t="inlineStr">
        <is>
          <t/>
        </is>
      </c>
      <c r="X73" s="3" t="inlineStr">
        <is>
          <t/>
        </is>
      </c>
      <c r="Y73" s="3" t="inlineStr">
        <is>
          <t/>
        </is>
      </c>
      <c r="Z73" s="3" t="inlineStr">
        <is>
          <t/>
        </is>
      </c>
      <c r="[73" s="3" t="inlineStr">
        <is>
          <t/>
        </is>
      </c>
      <c r="\73" s="3" t="inlineStr">
        <is>
          <t/>
        </is>
      </c>
      <c r="]73" s="3" t="inlineStr">
        <is>
          <t/>
        </is>
      </c>
      <c r="^73" s="3" t="inlineStr">
        <is>
          <t/>
        </is>
      </c>
      <c r="_73" s="3" t="inlineStr">
        <is>
          <t/>
        </is>
      </c>
      <c r="`73" s="3" t="inlineStr">
        <is>
          <t/>
        </is>
      </c>
      <c r="AG73" s="3" t="inlineStr">
        <is>
          <t>=SUM(B73:AF73)</t>
        </is>
      </c>
      <c r="AH73" s="3" t="inlineStr">
        <is>
          <t>=AG73/8</t>
        </is>
      </c>
    </row>
    <row r="74">
      <c r="A74" t="inlineStr">
        <is>
          <t>=IF('Punonjësit'!A74="","",'Punonjësit'!A74)</t>
        </is>
      </c>
      <c r="B74" s="3" t="inlineStr">
        <is>
          <t/>
        </is>
      </c>
      <c r="C74" s="3" t="inlineStr">
        <is>
          <t/>
        </is>
      </c>
      <c r="D74" s="3" t="inlineStr">
        <is>
          <t/>
        </is>
      </c>
      <c r="E74" s="3" t="inlineStr">
        <is>
          <t/>
        </is>
      </c>
      <c r="F74" s="3" t="inlineStr">
        <is>
          <t/>
        </is>
      </c>
      <c r="G74" s="3" t="inlineStr">
        <is>
          <t/>
        </is>
      </c>
      <c r="H74" s="3" t="inlineStr">
        <is>
          <t/>
        </is>
      </c>
      <c r="I74" s="3" t="inlineStr">
        <is>
          <t/>
        </is>
      </c>
      <c r="J74" s="3" t="inlineStr">
        <is>
          <t/>
        </is>
      </c>
      <c r="K74" s="3" t="inlineStr">
        <is>
          <t/>
        </is>
      </c>
      <c r="L74" s="3" t="inlineStr">
        <is>
          <t/>
        </is>
      </c>
      <c r="M74" s="3" t="inlineStr">
        <is>
          <t/>
        </is>
      </c>
      <c r="N74" s="3" t="inlineStr">
        <is>
          <t/>
        </is>
      </c>
      <c r="O74" s="3" t="inlineStr">
        <is>
          <t/>
        </is>
      </c>
      <c r="P74" s="3" t="inlineStr">
        <is>
          <t/>
        </is>
      </c>
      <c r="Q74" s="3" t="inlineStr">
        <is>
          <t/>
        </is>
      </c>
      <c r="R74" s="3" t="inlineStr">
        <is>
          <t/>
        </is>
      </c>
      <c r="S74" s="3" t="inlineStr">
        <is>
          <t/>
        </is>
      </c>
      <c r="T74" s="3" t="inlineStr">
        <is>
          <t/>
        </is>
      </c>
      <c r="U74" s="3" t="inlineStr">
        <is>
          <t/>
        </is>
      </c>
      <c r="V74" s="3" t="inlineStr">
        <is>
          <t/>
        </is>
      </c>
      <c r="W74" s="3" t="inlineStr">
        <is>
          <t/>
        </is>
      </c>
      <c r="X74" s="3" t="inlineStr">
        <is>
          <t/>
        </is>
      </c>
      <c r="Y74" s="3" t="inlineStr">
        <is>
          <t/>
        </is>
      </c>
      <c r="Z74" s="3" t="inlineStr">
        <is>
          <t/>
        </is>
      </c>
      <c r="[74" s="3" t="inlineStr">
        <is>
          <t/>
        </is>
      </c>
      <c r="\74" s="3" t="inlineStr">
        <is>
          <t/>
        </is>
      </c>
      <c r="]74" s="3" t="inlineStr">
        <is>
          <t/>
        </is>
      </c>
      <c r="^74" s="3" t="inlineStr">
        <is>
          <t/>
        </is>
      </c>
      <c r="_74" s="3" t="inlineStr">
        <is>
          <t/>
        </is>
      </c>
      <c r="`74" s="3" t="inlineStr">
        <is>
          <t/>
        </is>
      </c>
      <c r="AG74" s="3" t="inlineStr">
        <is>
          <t>=SUM(B74:AF74)</t>
        </is>
      </c>
      <c r="AH74" s="3" t="inlineStr">
        <is>
          <t>=AG74/8</t>
        </is>
      </c>
    </row>
    <row r="75">
      <c r="A75" t="inlineStr">
        <is>
          <t>=IF('Punonjësit'!A75="","",'Punonjësit'!A75)</t>
        </is>
      </c>
      <c r="B75" s="3" t="inlineStr">
        <is>
          <t/>
        </is>
      </c>
      <c r="C75" s="3" t="inlineStr">
        <is>
          <t/>
        </is>
      </c>
      <c r="D75" s="3" t="inlineStr">
        <is>
          <t/>
        </is>
      </c>
      <c r="E75" s="3" t="inlineStr">
        <is>
          <t/>
        </is>
      </c>
      <c r="F75" s="3" t="inlineStr">
        <is>
          <t/>
        </is>
      </c>
      <c r="G75" s="3" t="inlineStr">
        <is>
          <t/>
        </is>
      </c>
      <c r="H75" s="3" t="inlineStr">
        <is>
          <t/>
        </is>
      </c>
      <c r="I75" s="3" t="inlineStr">
        <is>
          <t/>
        </is>
      </c>
      <c r="J75" s="3" t="inlineStr">
        <is>
          <t/>
        </is>
      </c>
      <c r="K75" s="3" t="inlineStr">
        <is>
          <t/>
        </is>
      </c>
      <c r="L75" s="3" t="inlineStr">
        <is>
          <t/>
        </is>
      </c>
      <c r="M75" s="3" t="inlineStr">
        <is>
          <t/>
        </is>
      </c>
      <c r="N75" s="3" t="inlineStr">
        <is>
          <t/>
        </is>
      </c>
      <c r="O75" s="3" t="inlineStr">
        <is>
          <t/>
        </is>
      </c>
      <c r="P75" s="3" t="inlineStr">
        <is>
          <t/>
        </is>
      </c>
      <c r="Q75" s="3" t="inlineStr">
        <is>
          <t/>
        </is>
      </c>
      <c r="R75" s="3" t="inlineStr">
        <is>
          <t/>
        </is>
      </c>
      <c r="S75" s="3" t="inlineStr">
        <is>
          <t/>
        </is>
      </c>
      <c r="T75" s="3" t="inlineStr">
        <is>
          <t/>
        </is>
      </c>
      <c r="U75" s="3" t="inlineStr">
        <is>
          <t/>
        </is>
      </c>
      <c r="V75" s="3" t="inlineStr">
        <is>
          <t/>
        </is>
      </c>
      <c r="W75" s="3" t="inlineStr">
        <is>
          <t/>
        </is>
      </c>
      <c r="X75" s="3" t="inlineStr">
        <is>
          <t/>
        </is>
      </c>
      <c r="Y75" s="3" t="inlineStr">
        <is>
          <t/>
        </is>
      </c>
      <c r="Z75" s="3" t="inlineStr">
        <is>
          <t/>
        </is>
      </c>
      <c r="[75" s="3" t="inlineStr">
        <is>
          <t/>
        </is>
      </c>
      <c r="\75" s="3" t="inlineStr">
        <is>
          <t/>
        </is>
      </c>
      <c r="]75" s="3" t="inlineStr">
        <is>
          <t/>
        </is>
      </c>
      <c r="^75" s="3" t="inlineStr">
        <is>
          <t/>
        </is>
      </c>
      <c r="_75" s="3" t="inlineStr">
        <is>
          <t/>
        </is>
      </c>
      <c r="`75" s="3" t="inlineStr">
        <is>
          <t/>
        </is>
      </c>
      <c r="AG75" s="3" t="inlineStr">
        <is>
          <t>=SUM(B75:AF75)</t>
        </is>
      </c>
      <c r="AH75" s="3" t="inlineStr">
        <is>
          <t>=AG75/8</t>
        </is>
      </c>
    </row>
    <row r="76">
      <c r="A76" t="inlineStr">
        <is>
          <t>=IF('Punonjësit'!A76="","",'Punonjësit'!A76)</t>
        </is>
      </c>
      <c r="B76" s="3" t="inlineStr">
        <is>
          <t/>
        </is>
      </c>
      <c r="C76" s="3" t="inlineStr">
        <is>
          <t/>
        </is>
      </c>
      <c r="D76" s="3" t="inlineStr">
        <is>
          <t/>
        </is>
      </c>
      <c r="E76" s="3" t="inlineStr">
        <is>
          <t/>
        </is>
      </c>
      <c r="F76" s="3" t="inlineStr">
        <is>
          <t/>
        </is>
      </c>
      <c r="G76" s="3" t="inlineStr">
        <is>
          <t/>
        </is>
      </c>
      <c r="H76" s="3" t="inlineStr">
        <is>
          <t/>
        </is>
      </c>
      <c r="I76" s="3" t="inlineStr">
        <is>
          <t/>
        </is>
      </c>
      <c r="J76" s="3" t="inlineStr">
        <is>
          <t/>
        </is>
      </c>
      <c r="K76" s="3" t="inlineStr">
        <is>
          <t/>
        </is>
      </c>
      <c r="L76" s="3" t="inlineStr">
        <is>
          <t/>
        </is>
      </c>
      <c r="M76" s="3" t="inlineStr">
        <is>
          <t/>
        </is>
      </c>
      <c r="N76" s="3" t="inlineStr">
        <is>
          <t/>
        </is>
      </c>
      <c r="O76" s="3" t="inlineStr">
        <is>
          <t/>
        </is>
      </c>
      <c r="P76" s="3" t="inlineStr">
        <is>
          <t/>
        </is>
      </c>
      <c r="Q76" s="3" t="inlineStr">
        <is>
          <t/>
        </is>
      </c>
      <c r="R76" s="3" t="inlineStr">
        <is>
          <t/>
        </is>
      </c>
      <c r="S76" s="3" t="inlineStr">
        <is>
          <t/>
        </is>
      </c>
      <c r="T76" s="3" t="inlineStr">
        <is>
          <t/>
        </is>
      </c>
      <c r="U76" s="3" t="inlineStr">
        <is>
          <t/>
        </is>
      </c>
      <c r="V76" s="3" t="inlineStr">
        <is>
          <t/>
        </is>
      </c>
      <c r="W76" s="3" t="inlineStr">
        <is>
          <t/>
        </is>
      </c>
      <c r="X76" s="3" t="inlineStr">
        <is>
          <t/>
        </is>
      </c>
      <c r="Y76" s="3" t="inlineStr">
        <is>
          <t/>
        </is>
      </c>
      <c r="Z76" s="3" t="inlineStr">
        <is>
          <t/>
        </is>
      </c>
      <c r="[76" s="3" t="inlineStr">
        <is>
          <t/>
        </is>
      </c>
      <c r="\76" s="3" t="inlineStr">
        <is>
          <t/>
        </is>
      </c>
      <c r="]76" s="3" t="inlineStr">
        <is>
          <t/>
        </is>
      </c>
      <c r="^76" s="3" t="inlineStr">
        <is>
          <t/>
        </is>
      </c>
      <c r="_76" s="3" t="inlineStr">
        <is>
          <t/>
        </is>
      </c>
      <c r="`76" s="3" t="inlineStr">
        <is>
          <t/>
        </is>
      </c>
      <c r="AG76" s="3" t="inlineStr">
        <is>
          <t>=SUM(B76:AF76)</t>
        </is>
      </c>
      <c r="AH76" s="3" t="inlineStr">
        <is>
          <t>=AG76/8</t>
        </is>
      </c>
    </row>
    <row r="77">
      <c r="A77" t="inlineStr">
        <is>
          <t>=IF('Punonjësit'!A77="","",'Punonjësit'!A77)</t>
        </is>
      </c>
      <c r="B77" s="3" t="inlineStr">
        <is>
          <t/>
        </is>
      </c>
      <c r="C77" s="3" t="inlineStr">
        <is>
          <t/>
        </is>
      </c>
      <c r="D77" s="3" t="inlineStr">
        <is>
          <t/>
        </is>
      </c>
      <c r="E77" s="3" t="inlineStr">
        <is>
          <t/>
        </is>
      </c>
      <c r="F77" s="3" t="inlineStr">
        <is>
          <t/>
        </is>
      </c>
      <c r="G77" s="3" t="inlineStr">
        <is>
          <t/>
        </is>
      </c>
      <c r="H77" s="3" t="inlineStr">
        <is>
          <t/>
        </is>
      </c>
      <c r="I77" s="3" t="inlineStr">
        <is>
          <t/>
        </is>
      </c>
      <c r="J77" s="3" t="inlineStr">
        <is>
          <t/>
        </is>
      </c>
      <c r="K77" s="3" t="inlineStr">
        <is>
          <t/>
        </is>
      </c>
      <c r="L77" s="3" t="inlineStr">
        <is>
          <t/>
        </is>
      </c>
      <c r="M77" s="3" t="inlineStr">
        <is>
          <t/>
        </is>
      </c>
      <c r="N77" s="3" t="inlineStr">
        <is>
          <t/>
        </is>
      </c>
      <c r="O77" s="3" t="inlineStr">
        <is>
          <t/>
        </is>
      </c>
      <c r="P77" s="3" t="inlineStr">
        <is>
          <t/>
        </is>
      </c>
      <c r="Q77" s="3" t="inlineStr">
        <is>
          <t/>
        </is>
      </c>
      <c r="R77" s="3" t="inlineStr">
        <is>
          <t/>
        </is>
      </c>
      <c r="S77" s="3" t="inlineStr">
        <is>
          <t/>
        </is>
      </c>
      <c r="T77" s="3" t="inlineStr">
        <is>
          <t/>
        </is>
      </c>
      <c r="U77" s="3" t="inlineStr">
        <is>
          <t/>
        </is>
      </c>
      <c r="V77" s="3" t="inlineStr">
        <is>
          <t/>
        </is>
      </c>
      <c r="W77" s="3" t="inlineStr">
        <is>
          <t/>
        </is>
      </c>
      <c r="X77" s="3" t="inlineStr">
        <is>
          <t/>
        </is>
      </c>
      <c r="Y77" s="3" t="inlineStr">
        <is>
          <t/>
        </is>
      </c>
      <c r="Z77" s="3" t="inlineStr">
        <is>
          <t/>
        </is>
      </c>
      <c r="[77" s="3" t="inlineStr">
        <is>
          <t/>
        </is>
      </c>
      <c r="\77" s="3" t="inlineStr">
        <is>
          <t/>
        </is>
      </c>
      <c r="]77" s="3" t="inlineStr">
        <is>
          <t/>
        </is>
      </c>
      <c r="^77" s="3" t="inlineStr">
        <is>
          <t/>
        </is>
      </c>
      <c r="_77" s="3" t="inlineStr">
        <is>
          <t/>
        </is>
      </c>
      <c r="`77" s="3" t="inlineStr">
        <is>
          <t/>
        </is>
      </c>
      <c r="AG77" s="3" t="inlineStr">
        <is>
          <t>=SUM(B77:AF77)</t>
        </is>
      </c>
      <c r="AH77" s="3" t="inlineStr">
        <is>
          <t>=AG77/8</t>
        </is>
      </c>
    </row>
    <row r="78">
      <c r="A78" t="inlineStr">
        <is>
          <t>=IF('Punonjësit'!A78="","",'Punonjësit'!A78)</t>
        </is>
      </c>
      <c r="B78" s="3" t="inlineStr">
        <is>
          <t/>
        </is>
      </c>
      <c r="C78" s="3" t="inlineStr">
        <is>
          <t/>
        </is>
      </c>
      <c r="D78" s="3" t="inlineStr">
        <is>
          <t/>
        </is>
      </c>
      <c r="E78" s="3" t="inlineStr">
        <is>
          <t/>
        </is>
      </c>
      <c r="F78" s="3" t="inlineStr">
        <is>
          <t/>
        </is>
      </c>
      <c r="G78" s="3" t="inlineStr">
        <is>
          <t/>
        </is>
      </c>
      <c r="H78" s="3" t="inlineStr">
        <is>
          <t/>
        </is>
      </c>
      <c r="I78" s="3" t="inlineStr">
        <is>
          <t/>
        </is>
      </c>
      <c r="J78" s="3" t="inlineStr">
        <is>
          <t/>
        </is>
      </c>
      <c r="K78" s="3" t="inlineStr">
        <is>
          <t/>
        </is>
      </c>
      <c r="L78" s="3" t="inlineStr">
        <is>
          <t/>
        </is>
      </c>
      <c r="M78" s="3" t="inlineStr">
        <is>
          <t/>
        </is>
      </c>
      <c r="N78" s="3" t="inlineStr">
        <is>
          <t/>
        </is>
      </c>
      <c r="O78" s="3" t="inlineStr">
        <is>
          <t/>
        </is>
      </c>
      <c r="P78" s="3" t="inlineStr">
        <is>
          <t/>
        </is>
      </c>
      <c r="Q78" s="3" t="inlineStr">
        <is>
          <t/>
        </is>
      </c>
      <c r="R78" s="3" t="inlineStr">
        <is>
          <t/>
        </is>
      </c>
      <c r="S78" s="3" t="inlineStr">
        <is>
          <t/>
        </is>
      </c>
      <c r="T78" s="3" t="inlineStr">
        <is>
          <t/>
        </is>
      </c>
      <c r="U78" s="3" t="inlineStr">
        <is>
          <t/>
        </is>
      </c>
      <c r="V78" s="3" t="inlineStr">
        <is>
          <t/>
        </is>
      </c>
      <c r="W78" s="3" t="inlineStr">
        <is>
          <t/>
        </is>
      </c>
      <c r="X78" s="3" t="inlineStr">
        <is>
          <t/>
        </is>
      </c>
      <c r="Y78" s="3" t="inlineStr">
        <is>
          <t/>
        </is>
      </c>
      <c r="Z78" s="3" t="inlineStr">
        <is>
          <t/>
        </is>
      </c>
      <c r="[78" s="3" t="inlineStr">
        <is>
          <t/>
        </is>
      </c>
      <c r="\78" s="3" t="inlineStr">
        <is>
          <t/>
        </is>
      </c>
      <c r="]78" s="3" t="inlineStr">
        <is>
          <t/>
        </is>
      </c>
      <c r="^78" s="3" t="inlineStr">
        <is>
          <t/>
        </is>
      </c>
      <c r="_78" s="3" t="inlineStr">
        <is>
          <t/>
        </is>
      </c>
      <c r="`78" s="3" t="inlineStr">
        <is>
          <t/>
        </is>
      </c>
      <c r="AG78" s="3" t="inlineStr">
        <is>
          <t>=SUM(B78:AF78)</t>
        </is>
      </c>
      <c r="AH78" s="3" t="inlineStr">
        <is>
          <t>=AG78/8</t>
        </is>
      </c>
    </row>
    <row r="79">
      <c r="A79" t="inlineStr">
        <is>
          <t>=IF('Punonjësit'!A79="","",'Punonjësit'!A79)</t>
        </is>
      </c>
      <c r="B79" s="3" t="inlineStr">
        <is>
          <t/>
        </is>
      </c>
      <c r="C79" s="3" t="inlineStr">
        <is>
          <t/>
        </is>
      </c>
      <c r="D79" s="3" t="inlineStr">
        <is>
          <t/>
        </is>
      </c>
      <c r="E79" s="3" t="inlineStr">
        <is>
          <t/>
        </is>
      </c>
      <c r="F79" s="3" t="inlineStr">
        <is>
          <t/>
        </is>
      </c>
      <c r="G79" s="3" t="inlineStr">
        <is>
          <t/>
        </is>
      </c>
      <c r="H79" s="3" t="inlineStr">
        <is>
          <t/>
        </is>
      </c>
      <c r="I79" s="3" t="inlineStr">
        <is>
          <t/>
        </is>
      </c>
      <c r="J79" s="3" t="inlineStr">
        <is>
          <t/>
        </is>
      </c>
      <c r="K79" s="3" t="inlineStr">
        <is>
          <t/>
        </is>
      </c>
      <c r="L79" s="3" t="inlineStr">
        <is>
          <t/>
        </is>
      </c>
      <c r="M79" s="3" t="inlineStr">
        <is>
          <t/>
        </is>
      </c>
      <c r="N79" s="3" t="inlineStr">
        <is>
          <t/>
        </is>
      </c>
      <c r="O79" s="3" t="inlineStr">
        <is>
          <t/>
        </is>
      </c>
      <c r="P79" s="3" t="inlineStr">
        <is>
          <t/>
        </is>
      </c>
      <c r="Q79" s="3" t="inlineStr">
        <is>
          <t/>
        </is>
      </c>
      <c r="R79" s="3" t="inlineStr">
        <is>
          <t/>
        </is>
      </c>
      <c r="S79" s="3" t="inlineStr">
        <is>
          <t/>
        </is>
      </c>
      <c r="T79" s="3" t="inlineStr">
        <is>
          <t/>
        </is>
      </c>
      <c r="U79" s="3" t="inlineStr">
        <is>
          <t/>
        </is>
      </c>
      <c r="V79" s="3" t="inlineStr">
        <is>
          <t/>
        </is>
      </c>
      <c r="W79" s="3" t="inlineStr">
        <is>
          <t/>
        </is>
      </c>
      <c r="X79" s="3" t="inlineStr">
        <is>
          <t/>
        </is>
      </c>
      <c r="Y79" s="3" t="inlineStr">
        <is>
          <t/>
        </is>
      </c>
      <c r="Z79" s="3" t="inlineStr">
        <is>
          <t/>
        </is>
      </c>
      <c r="[79" s="3" t="inlineStr">
        <is>
          <t/>
        </is>
      </c>
      <c r="\79" s="3" t="inlineStr">
        <is>
          <t/>
        </is>
      </c>
      <c r="]79" s="3" t="inlineStr">
        <is>
          <t/>
        </is>
      </c>
      <c r="^79" s="3" t="inlineStr">
        <is>
          <t/>
        </is>
      </c>
      <c r="_79" s="3" t="inlineStr">
        <is>
          <t/>
        </is>
      </c>
      <c r="`79" s="3" t="inlineStr">
        <is>
          <t/>
        </is>
      </c>
      <c r="AG79" s="3" t="inlineStr">
        <is>
          <t>=SUM(B79:AF79)</t>
        </is>
      </c>
      <c r="AH79" s="3" t="inlineStr">
        <is>
          <t>=AG79/8</t>
        </is>
      </c>
    </row>
    <row r="80">
      <c r="A80" t="inlineStr">
        <is>
          <t>=IF('Punonjësit'!A80="","",'Punonjësit'!A80)</t>
        </is>
      </c>
      <c r="B80" s="3" t="inlineStr">
        <is>
          <t/>
        </is>
      </c>
      <c r="C80" s="3" t="inlineStr">
        <is>
          <t/>
        </is>
      </c>
      <c r="D80" s="3" t="inlineStr">
        <is>
          <t/>
        </is>
      </c>
      <c r="E80" s="3" t="inlineStr">
        <is>
          <t/>
        </is>
      </c>
      <c r="F80" s="3" t="inlineStr">
        <is>
          <t/>
        </is>
      </c>
      <c r="G80" s="3" t="inlineStr">
        <is>
          <t/>
        </is>
      </c>
      <c r="H80" s="3" t="inlineStr">
        <is>
          <t/>
        </is>
      </c>
      <c r="I80" s="3" t="inlineStr">
        <is>
          <t/>
        </is>
      </c>
      <c r="J80" s="3" t="inlineStr">
        <is>
          <t/>
        </is>
      </c>
      <c r="K80" s="3" t="inlineStr">
        <is>
          <t/>
        </is>
      </c>
      <c r="L80" s="3" t="inlineStr">
        <is>
          <t/>
        </is>
      </c>
      <c r="M80" s="3" t="inlineStr">
        <is>
          <t/>
        </is>
      </c>
      <c r="N80" s="3" t="inlineStr">
        <is>
          <t/>
        </is>
      </c>
      <c r="O80" s="3" t="inlineStr">
        <is>
          <t/>
        </is>
      </c>
      <c r="P80" s="3" t="inlineStr">
        <is>
          <t/>
        </is>
      </c>
      <c r="Q80" s="3" t="inlineStr">
        <is>
          <t/>
        </is>
      </c>
      <c r="R80" s="3" t="inlineStr">
        <is>
          <t/>
        </is>
      </c>
      <c r="S80" s="3" t="inlineStr">
        <is>
          <t/>
        </is>
      </c>
      <c r="T80" s="3" t="inlineStr">
        <is>
          <t/>
        </is>
      </c>
      <c r="U80" s="3" t="inlineStr">
        <is>
          <t/>
        </is>
      </c>
      <c r="V80" s="3" t="inlineStr">
        <is>
          <t/>
        </is>
      </c>
      <c r="W80" s="3" t="inlineStr">
        <is>
          <t/>
        </is>
      </c>
      <c r="X80" s="3" t="inlineStr">
        <is>
          <t/>
        </is>
      </c>
      <c r="Y80" s="3" t="inlineStr">
        <is>
          <t/>
        </is>
      </c>
      <c r="Z80" s="3" t="inlineStr">
        <is>
          <t/>
        </is>
      </c>
      <c r="[80" s="3" t="inlineStr">
        <is>
          <t/>
        </is>
      </c>
      <c r="\80" s="3" t="inlineStr">
        <is>
          <t/>
        </is>
      </c>
      <c r="]80" s="3" t="inlineStr">
        <is>
          <t/>
        </is>
      </c>
      <c r="^80" s="3" t="inlineStr">
        <is>
          <t/>
        </is>
      </c>
      <c r="_80" s="3" t="inlineStr">
        <is>
          <t/>
        </is>
      </c>
      <c r="`80" s="3" t="inlineStr">
        <is>
          <t/>
        </is>
      </c>
      <c r="AG80" s="3" t="inlineStr">
        <is>
          <t>=SUM(B80:AF80)</t>
        </is>
      </c>
      <c r="AH80" s="3" t="inlineStr">
        <is>
          <t>=AG80/8</t>
        </is>
      </c>
    </row>
    <row r="81">
      <c r="A81" t="inlineStr">
        <is>
          <t>=IF('Punonjësit'!A81="","",'Punonjësit'!A81)</t>
        </is>
      </c>
      <c r="B81" s="3" t="inlineStr">
        <is>
          <t/>
        </is>
      </c>
      <c r="C81" s="3" t="inlineStr">
        <is>
          <t/>
        </is>
      </c>
      <c r="D81" s="3" t="inlineStr">
        <is>
          <t/>
        </is>
      </c>
      <c r="E81" s="3" t="inlineStr">
        <is>
          <t/>
        </is>
      </c>
      <c r="F81" s="3" t="inlineStr">
        <is>
          <t/>
        </is>
      </c>
      <c r="G81" s="3" t="inlineStr">
        <is>
          <t/>
        </is>
      </c>
      <c r="H81" s="3" t="inlineStr">
        <is>
          <t/>
        </is>
      </c>
      <c r="I81" s="3" t="inlineStr">
        <is>
          <t/>
        </is>
      </c>
      <c r="J81" s="3" t="inlineStr">
        <is>
          <t/>
        </is>
      </c>
      <c r="K81" s="3" t="inlineStr">
        <is>
          <t/>
        </is>
      </c>
      <c r="L81" s="3" t="inlineStr">
        <is>
          <t/>
        </is>
      </c>
      <c r="M81" s="3" t="inlineStr">
        <is>
          <t/>
        </is>
      </c>
      <c r="N81" s="3" t="inlineStr">
        <is>
          <t/>
        </is>
      </c>
      <c r="O81" s="3" t="inlineStr">
        <is>
          <t/>
        </is>
      </c>
      <c r="P81" s="3" t="inlineStr">
        <is>
          <t/>
        </is>
      </c>
      <c r="Q81" s="3" t="inlineStr">
        <is>
          <t/>
        </is>
      </c>
      <c r="R81" s="3" t="inlineStr">
        <is>
          <t/>
        </is>
      </c>
      <c r="S81" s="3" t="inlineStr">
        <is>
          <t/>
        </is>
      </c>
      <c r="T81" s="3" t="inlineStr">
        <is>
          <t/>
        </is>
      </c>
      <c r="U81" s="3" t="inlineStr">
        <is>
          <t/>
        </is>
      </c>
      <c r="V81" s="3" t="inlineStr">
        <is>
          <t/>
        </is>
      </c>
      <c r="W81" s="3" t="inlineStr">
        <is>
          <t/>
        </is>
      </c>
      <c r="X81" s="3" t="inlineStr">
        <is>
          <t/>
        </is>
      </c>
      <c r="Y81" s="3" t="inlineStr">
        <is>
          <t/>
        </is>
      </c>
      <c r="Z81" s="3" t="inlineStr">
        <is>
          <t/>
        </is>
      </c>
      <c r="[81" s="3" t="inlineStr">
        <is>
          <t/>
        </is>
      </c>
      <c r="\81" s="3" t="inlineStr">
        <is>
          <t/>
        </is>
      </c>
      <c r="]81" s="3" t="inlineStr">
        <is>
          <t/>
        </is>
      </c>
      <c r="^81" s="3" t="inlineStr">
        <is>
          <t/>
        </is>
      </c>
      <c r="_81" s="3" t="inlineStr">
        <is>
          <t/>
        </is>
      </c>
      <c r="`81" s="3" t="inlineStr">
        <is>
          <t/>
        </is>
      </c>
      <c r="AG81" s="3" t="inlineStr">
        <is>
          <t>=SUM(B81:AF81)</t>
        </is>
      </c>
      <c r="AH81" s="3" t="inlineStr">
        <is>
          <t>=AG81/8</t>
        </is>
      </c>
    </row>
    <row r="82">
      <c r="A82" t="inlineStr">
        <is>
          <t>=IF('Punonjësit'!A82="","",'Punonjësit'!A82)</t>
        </is>
      </c>
      <c r="B82" s="3" t="inlineStr">
        <is>
          <t/>
        </is>
      </c>
      <c r="C82" s="3" t="inlineStr">
        <is>
          <t/>
        </is>
      </c>
      <c r="D82" s="3" t="inlineStr">
        <is>
          <t/>
        </is>
      </c>
      <c r="E82" s="3" t="inlineStr">
        <is>
          <t/>
        </is>
      </c>
      <c r="F82" s="3" t="inlineStr">
        <is>
          <t/>
        </is>
      </c>
      <c r="G82" s="3" t="inlineStr">
        <is>
          <t/>
        </is>
      </c>
      <c r="H82" s="3" t="inlineStr">
        <is>
          <t/>
        </is>
      </c>
      <c r="I82" s="3" t="inlineStr">
        <is>
          <t/>
        </is>
      </c>
      <c r="J82" s="3" t="inlineStr">
        <is>
          <t/>
        </is>
      </c>
      <c r="K82" s="3" t="inlineStr">
        <is>
          <t/>
        </is>
      </c>
      <c r="L82" s="3" t="inlineStr">
        <is>
          <t/>
        </is>
      </c>
      <c r="M82" s="3" t="inlineStr">
        <is>
          <t/>
        </is>
      </c>
      <c r="N82" s="3" t="inlineStr">
        <is>
          <t/>
        </is>
      </c>
      <c r="O82" s="3" t="inlineStr">
        <is>
          <t/>
        </is>
      </c>
      <c r="P82" s="3" t="inlineStr">
        <is>
          <t/>
        </is>
      </c>
      <c r="Q82" s="3" t="inlineStr">
        <is>
          <t/>
        </is>
      </c>
      <c r="R82" s="3" t="inlineStr">
        <is>
          <t/>
        </is>
      </c>
      <c r="S82" s="3" t="inlineStr">
        <is>
          <t/>
        </is>
      </c>
      <c r="T82" s="3" t="inlineStr">
        <is>
          <t/>
        </is>
      </c>
      <c r="U82" s="3" t="inlineStr">
        <is>
          <t/>
        </is>
      </c>
      <c r="V82" s="3" t="inlineStr">
        <is>
          <t/>
        </is>
      </c>
      <c r="W82" s="3" t="inlineStr">
        <is>
          <t/>
        </is>
      </c>
      <c r="X82" s="3" t="inlineStr">
        <is>
          <t/>
        </is>
      </c>
      <c r="Y82" s="3" t="inlineStr">
        <is>
          <t/>
        </is>
      </c>
      <c r="Z82" s="3" t="inlineStr">
        <is>
          <t/>
        </is>
      </c>
      <c r="[82" s="3" t="inlineStr">
        <is>
          <t/>
        </is>
      </c>
      <c r="\82" s="3" t="inlineStr">
        <is>
          <t/>
        </is>
      </c>
      <c r="]82" s="3" t="inlineStr">
        <is>
          <t/>
        </is>
      </c>
      <c r="^82" s="3" t="inlineStr">
        <is>
          <t/>
        </is>
      </c>
      <c r="_82" s="3" t="inlineStr">
        <is>
          <t/>
        </is>
      </c>
      <c r="`82" s="3" t="inlineStr">
        <is>
          <t/>
        </is>
      </c>
      <c r="AG82" s="3" t="inlineStr">
        <is>
          <t>=SUM(B82:AF82)</t>
        </is>
      </c>
      <c r="AH82" s="3" t="inlineStr">
        <is>
          <t>=AG82/8</t>
        </is>
      </c>
    </row>
    <row r="83">
      <c r="A83" t="inlineStr">
        <is>
          <t>=IF('Punonjësit'!A83="","",'Punonjësit'!A83)</t>
        </is>
      </c>
      <c r="B83" s="3" t="inlineStr">
        <is>
          <t/>
        </is>
      </c>
      <c r="C83" s="3" t="inlineStr">
        <is>
          <t/>
        </is>
      </c>
      <c r="D83" s="3" t="inlineStr">
        <is>
          <t/>
        </is>
      </c>
      <c r="E83" s="3" t="inlineStr">
        <is>
          <t/>
        </is>
      </c>
      <c r="F83" s="3" t="inlineStr">
        <is>
          <t/>
        </is>
      </c>
      <c r="G83" s="3" t="inlineStr">
        <is>
          <t/>
        </is>
      </c>
      <c r="H83" s="3" t="inlineStr">
        <is>
          <t/>
        </is>
      </c>
      <c r="I83" s="3" t="inlineStr">
        <is>
          <t/>
        </is>
      </c>
      <c r="J83" s="3" t="inlineStr">
        <is>
          <t/>
        </is>
      </c>
      <c r="K83" s="3" t="inlineStr">
        <is>
          <t/>
        </is>
      </c>
      <c r="L83" s="3" t="inlineStr">
        <is>
          <t/>
        </is>
      </c>
      <c r="M83" s="3" t="inlineStr">
        <is>
          <t/>
        </is>
      </c>
      <c r="N83" s="3" t="inlineStr">
        <is>
          <t/>
        </is>
      </c>
      <c r="O83" s="3" t="inlineStr">
        <is>
          <t/>
        </is>
      </c>
      <c r="P83" s="3" t="inlineStr">
        <is>
          <t/>
        </is>
      </c>
      <c r="Q83" s="3" t="inlineStr">
        <is>
          <t/>
        </is>
      </c>
      <c r="R83" s="3" t="inlineStr">
        <is>
          <t/>
        </is>
      </c>
      <c r="S83" s="3" t="inlineStr">
        <is>
          <t/>
        </is>
      </c>
      <c r="T83" s="3" t="inlineStr">
        <is>
          <t/>
        </is>
      </c>
      <c r="U83" s="3" t="inlineStr">
        <is>
          <t/>
        </is>
      </c>
      <c r="V83" s="3" t="inlineStr">
        <is>
          <t/>
        </is>
      </c>
      <c r="W83" s="3" t="inlineStr">
        <is>
          <t/>
        </is>
      </c>
      <c r="X83" s="3" t="inlineStr">
        <is>
          <t/>
        </is>
      </c>
      <c r="Y83" s="3" t="inlineStr">
        <is>
          <t/>
        </is>
      </c>
      <c r="Z83" s="3" t="inlineStr">
        <is>
          <t/>
        </is>
      </c>
      <c r="[83" s="3" t="inlineStr">
        <is>
          <t/>
        </is>
      </c>
      <c r="\83" s="3" t="inlineStr">
        <is>
          <t/>
        </is>
      </c>
      <c r="]83" s="3" t="inlineStr">
        <is>
          <t/>
        </is>
      </c>
      <c r="^83" s="3" t="inlineStr">
        <is>
          <t/>
        </is>
      </c>
      <c r="_83" s="3" t="inlineStr">
        <is>
          <t/>
        </is>
      </c>
      <c r="`83" s="3" t="inlineStr">
        <is>
          <t/>
        </is>
      </c>
      <c r="AG83" s="3" t="inlineStr">
        <is>
          <t>=SUM(B83:AF83)</t>
        </is>
      </c>
      <c r="AH83" s="3" t="inlineStr">
        <is>
          <t>=AG83/8</t>
        </is>
      </c>
    </row>
    <row r="84">
      <c r="A84" t="inlineStr">
        <is>
          <t>=IF('Punonjësit'!A84="","",'Punonjësit'!A84)</t>
        </is>
      </c>
      <c r="B84" s="3" t="inlineStr">
        <is>
          <t/>
        </is>
      </c>
      <c r="C84" s="3" t="inlineStr">
        <is>
          <t/>
        </is>
      </c>
      <c r="D84" s="3" t="inlineStr">
        <is>
          <t/>
        </is>
      </c>
      <c r="E84" s="3" t="inlineStr">
        <is>
          <t/>
        </is>
      </c>
      <c r="F84" s="3" t="inlineStr">
        <is>
          <t/>
        </is>
      </c>
      <c r="G84" s="3" t="inlineStr">
        <is>
          <t/>
        </is>
      </c>
      <c r="H84" s="3" t="inlineStr">
        <is>
          <t/>
        </is>
      </c>
      <c r="I84" s="3" t="inlineStr">
        <is>
          <t/>
        </is>
      </c>
      <c r="J84" s="3" t="inlineStr">
        <is>
          <t/>
        </is>
      </c>
      <c r="K84" s="3" t="inlineStr">
        <is>
          <t/>
        </is>
      </c>
      <c r="L84" s="3" t="inlineStr">
        <is>
          <t/>
        </is>
      </c>
      <c r="M84" s="3" t="inlineStr">
        <is>
          <t/>
        </is>
      </c>
      <c r="N84" s="3" t="inlineStr">
        <is>
          <t/>
        </is>
      </c>
      <c r="O84" s="3" t="inlineStr">
        <is>
          <t/>
        </is>
      </c>
      <c r="P84" s="3" t="inlineStr">
        <is>
          <t/>
        </is>
      </c>
      <c r="Q84" s="3" t="inlineStr">
        <is>
          <t/>
        </is>
      </c>
      <c r="R84" s="3" t="inlineStr">
        <is>
          <t/>
        </is>
      </c>
      <c r="S84" s="3" t="inlineStr">
        <is>
          <t/>
        </is>
      </c>
      <c r="T84" s="3" t="inlineStr">
        <is>
          <t/>
        </is>
      </c>
      <c r="U84" s="3" t="inlineStr">
        <is>
          <t/>
        </is>
      </c>
      <c r="V84" s="3" t="inlineStr">
        <is>
          <t/>
        </is>
      </c>
      <c r="W84" s="3" t="inlineStr">
        <is>
          <t/>
        </is>
      </c>
      <c r="X84" s="3" t="inlineStr">
        <is>
          <t/>
        </is>
      </c>
      <c r="Y84" s="3" t="inlineStr">
        <is>
          <t/>
        </is>
      </c>
      <c r="Z84" s="3" t="inlineStr">
        <is>
          <t/>
        </is>
      </c>
      <c r="[84" s="3" t="inlineStr">
        <is>
          <t/>
        </is>
      </c>
      <c r="\84" s="3" t="inlineStr">
        <is>
          <t/>
        </is>
      </c>
      <c r="]84" s="3" t="inlineStr">
        <is>
          <t/>
        </is>
      </c>
      <c r="^84" s="3" t="inlineStr">
        <is>
          <t/>
        </is>
      </c>
      <c r="_84" s="3" t="inlineStr">
        <is>
          <t/>
        </is>
      </c>
      <c r="`84" s="3" t="inlineStr">
        <is>
          <t/>
        </is>
      </c>
      <c r="AG84" s="3" t="inlineStr">
        <is>
          <t>=SUM(B84:AF84)</t>
        </is>
      </c>
      <c r="AH84" s="3" t="inlineStr">
        <is>
          <t>=AG84/8</t>
        </is>
      </c>
    </row>
    <row r="85">
      <c r="A85" t="inlineStr">
        <is>
          <t>=IF('Punonjësit'!A85="","",'Punonjësit'!A85)</t>
        </is>
      </c>
      <c r="B85" s="3" t="inlineStr">
        <is>
          <t/>
        </is>
      </c>
      <c r="C85" s="3" t="inlineStr">
        <is>
          <t/>
        </is>
      </c>
      <c r="D85" s="3" t="inlineStr">
        <is>
          <t/>
        </is>
      </c>
      <c r="E85" s="3" t="inlineStr">
        <is>
          <t/>
        </is>
      </c>
      <c r="F85" s="3" t="inlineStr">
        <is>
          <t/>
        </is>
      </c>
      <c r="G85" s="3" t="inlineStr">
        <is>
          <t/>
        </is>
      </c>
      <c r="H85" s="3" t="inlineStr">
        <is>
          <t/>
        </is>
      </c>
      <c r="I85" s="3" t="inlineStr">
        <is>
          <t/>
        </is>
      </c>
      <c r="J85" s="3" t="inlineStr">
        <is>
          <t/>
        </is>
      </c>
      <c r="K85" s="3" t="inlineStr">
        <is>
          <t/>
        </is>
      </c>
      <c r="L85" s="3" t="inlineStr">
        <is>
          <t/>
        </is>
      </c>
      <c r="M85" s="3" t="inlineStr">
        <is>
          <t/>
        </is>
      </c>
      <c r="N85" s="3" t="inlineStr">
        <is>
          <t/>
        </is>
      </c>
      <c r="O85" s="3" t="inlineStr">
        <is>
          <t/>
        </is>
      </c>
      <c r="P85" s="3" t="inlineStr">
        <is>
          <t/>
        </is>
      </c>
      <c r="Q85" s="3" t="inlineStr">
        <is>
          <t/>
        </is>
      </c>
      <c r="R85" s="3" t="inlineStr">
        <is>
          <t/>
        </is>
      </c>
      <c r="S85" s="3" t="inlineStr">
        <is>
          <t/>
        </is>
      </c>
      <c r="T85" s="3" t="inlineStr">
        <is>
          <t/>
        </is>
      </c>
      <c r="U85" s="3" t="inlineStr">
        <is>
          <t/>
        </is>
      </c>
      <c r="V85" s="3" t="inlineStr">
        <is>
          <t/>
        </is>
      </c>
      <c r="W85" s="3" t="inlineStr">
        <is>
          <t/>
        </is>
      </c>
      <c r="X85" s="3" t="inlineStr">
        <is>
          <t/>
        </is>
      </c>
      <c r="Y85" s="3" t="inlineStr">
        <is>
          <t/>
        </is>
      </c>
      <c r="Z85" s="3" t="inlineStr">
        <is>
          <t/>
        </is>
      </c>
      <c r="[85" s="3" t="inlineStr">
        <is>
          <t/>
        </is>
      </c>
      <c r="\85" s="3" t="inlineStr">
        <is>
          <t/>
        </is>
      </c>
      <c r="]85" s="3" t="inlineStr">
        <is>
          <t/>
        </is>
      </c>
      <c r="^85" s="3" t="inlineStr">
        <is>
          <t/>
        </is>
      </c>
      <c r="_85" s="3" t="inlineStr">
        <is>
          <t/>
        </is>
      </c>
      <c r="`85" s="3" t="inlineStr">
        <is>
          <t/>
        </is>
      </c>
      <c r="AG85" s="3" t="inlineStr">
        <is>
          <t>=SUM(B85:AF85)</t>
        </is>
      </c>
      <c r="AH85" s="3" t="inlineStr">
        <is>
          <t>=AG85/8</t>
        </is>
      </c>
    </row>
    <row r="86">
      <c r="A86" t="inlineStr">
        <is>
          <t>=IF('Punonjësit'!A86="","",'Punonjësit'!A86)</t>
        </is>
      </c>
      <c r="B86" s="3" t="inlineStr">
        <is>
          <t/>
        </is>
      </c>
      <c r="C86" s="3" t="inlineStr">
        <is>
          <t/>
        </is>
      </c>
      <c r="D86" s="3" t="inlineStr">
        <is>
          <t/>
        </is>
      </c>
      <c r="E86" s="3" t="inlineStr">
        <is>
          <t/>
        </is>
      </c>
      <c r="F86" s="3" t="inlineStr">
        <is>
          <t/>
        </is>
      </c>
      <c r="G86" s="3" t="inlineStr">
        <is>
          <t/>
        </is>
      </c>
      <c r="H86" s="3" t="inlineStr">
        <is>
          <t/>
        </is>
      </c>
      <c r="I86" s="3" t="inlineStr">
        <is>
          <t/>
        </is>
      </c>
      <c r="J86" s="3" t="inlineStr">
        <is>
          <t/>
        </is>
      </c>
      <c r="K86" s="3" t="inlineStr">
        <is>
          <t/>
        </is>
      </c>
      <c r="L86" s="3" t="inlineStr">
        <is>
          <t/>
        </is>
      </c>
      <c r="M86" s="3" t="inlineStr">
        <is>
          <t/>
        </is>
      </c>
      <c r="N86" s="3" t="inlineStr">
        <is>
          <t/>
        </is>
      </c>
      <c r="O86" s="3" t="inlineStr">
        <is>
          <t/>
        </is>
      </c>
      <c r="P86" s="3" t="inlineStr">
        <is>
          <t/>
        </is>
      </c>
      <c r="Q86" s="3" t="inlineStr">
        <is>
          <t/>
        </is>
      </c>
      <c r="R86" s="3" t="inlineStr">
        <is>
          <t/>
        </is>
      </c>
      <c r="S86" s="3" t="inlineStr">
        <is>
          <t/>
        </is>
      </c>
      <c r="T86" s="3" t="inlineStr">
        <is>
          <t/>
        </is>
      </c>
      <c r="U86" s="3" t="inlineStr">
        <is>
          <t/>
        </is>
      </c>
      <c r="V86" s="3" t="inlineStr">
        <is>
          <t/>
        </is>
      </c>
      <c r="W86" s="3" t="inlineStr">
        <is>
          <t/>
        </is>
      </c>
      <c r="X86" s="3" t="inlineStr">
        <is>
          <t/>
        </is>
      </c>
      <c r="Y86" s="3" t="inlineStr">
        <is>
          <t/>
        </is>
      </c>
      <c r="Z86" s="3" t="inlineStr">
        <is>
          <t/>
        </is>
      </c>
      <c r="[86" s="3" t="inlineStr">
        <is>
          <t/>
        </is>
      </c>
      <c r="\86" s="3" t="inlineStr">
        <is>
          <t/>
        </is>
      </c>
      <c r="]86" s="3" t="inlineStr">
        <is>
          <t/>
        </is>
      </c>
      <c r="^86" s="3" t="inlineStr">
        <is>
          <t/>
        </is>
      </c>
      <c r="_86" s="3" t="inlineStr">
        <is>
          <t/>
        </is>
      </c>
      <c r="`86" s="3" t="inlineStr">
        <is>
          <t/>
        </is>
      </c>
      <c r="AG86" s="3" t="inlineStr">
        <is>
          <t>=SUM(B86:AF86)</t>
        </is>
      </c>
      <c r="AH86" s="3" t="inlineStr">
        <is>
          <t>=AG86/8</t>
        </is>
      </c>
    </row>
    <row r="87">
      <c r="A87" t="inlineStr">
        <is>
          <t>=IF('Punonjësit'!A87="","",'Punonjësit'!A87)</t>
        </is>
      </c>
      <c r="B87" s="3" t="inlineStr">
        <is>
          <t/>
        </is>
      </c>
      <c r="C87" s="3" t="inlineStr">
        <is>
          <t/>
        </is>
      </c>
      <c r="D87" s="3" t="inlineStr">
        <is>
          <t/>
        </is>
      </c>
      <c r="E87" s="3" t="inlineStr">
        <is>
          <t/>
        </is>
      </c>
      <c r="F87" s="3" t="inlineStr">
        <is>
          <t/>
        </is>
      </c>
      <c r="G87" s="3" t="inlineStr">
        <is>
          <t/>
        </is>
      </c>
      <c r="H87" s="3" t="inlineStr">
        <is>
          <t/>
        </is>
      </c>
      <c r="I87" s="3" t="inlineStr">
        <is>
          <t/>
        </is>
      </c>
      <c r="J87" s="3" t="inlineStr">
        <is>
          <t/>
        </is>
      </c>
      <c r="K87" s="3" t="inlineStr">
        <is>
          <t/>
        </is>
      </c>
      <c r="L87" s="3" t="inlineStr">
        <is>
          <t/>
        </is>
      </c>
      <c r="M87" s="3" t="inlineStr">
        <is>
          <t/>
        </is>
      </c>
      <c r="N87" s="3" t="inlineStr">
        <is>
          <t/>
        </is>
      </c>
      <c r="O87" s="3" t="inlineStr">
        <is>
          <t/>
        </is>
      </c>
      <c r="P87" s="3" t="inlineStr">
        <is>
          <t/>
        </is>
      </c>
      <c r="Q87" s="3" t="inlineStr">
        <is>
          <t/>
        </is>
      </c>
      <c r="R87" s="3" t="inlineStr">
        <is>
          <t/>
        </is>
      </c>
      <c r="S87" s="3" t="inlineStr">
        <is>
          <t/>
        </is>
      </c>
      <c r="T87" s="3" t="inlineStr">
        <is>
          <t/>
        </is>
      </c>
      <c r="U87" s="3" t="inlineStr">
        <is>
          <t/>
        </is>
      </c>
      <c r="V87" s="3" t="inlineStr">
        <is>
          <t/>
        </is>
      </c>
      <c r="W87" s="3" t="inlineStr">
        <is>
          <t/>
        </is>
      </c>
      <c r="X87" s="3" t="inlineStr">
        <is>
          <t/>
        </is>
      </c>
      <c r="Y87" s="3" t="inlineStr">
        <is>
          <t/>
        </is>
      </c>
      <c r="Z87" s="3" t="inlineStr">
        <is>
          <t/>
        </is>
      </c>
      <c r="[87" s="3" t="inlineStr">
        <is>
          <t/>
        </is>
      </c>
      <c r="\87" s="3" t="inlineStr">
        <is>
          <t/>
        </is>
      </c>
      <c r="]87" s="3" t="inlineStr">
        <is>
          <t/>
        </is>
      </c>
      <c r="^87" s="3" t="inlineStr">
        <is>
          <t/>
        </is>
      </c>
      <c r="_87" s="3" t="inlineStr">
        <is>
          <t/>
        </is>
      </c>
      <c r="`87" s="3" t="inlineStr">
        <is>
          <t/>
        </is>
      </c>
      <c r="AG87" s="3" t="inlineStr">
        <is>
          <t>=SUM(B87:AF87)</t>
        </is>
      </c>
      <c r="AH87" s="3" t="inlineStr">
        <is>
          <t>=AG87/8</t>
        </is>
      </c>
    </row>
    <row r="88">
      <c r="A88" t="inlineStr">
        <is>
          <t>=IF('Punonjësit'!A88="","",'Punonjësit'!A88)</t>
        </is>
      </c>
      <c r="B88" s="3" t="inlineStr">
        <is>
          <t/>
        </is>
      </c>
      <c r="C88" s="3" t="inlineStr">
        <is>
          <t/>
        </is>
      </c>
      <c r="D88" s="3" t="inlineStr">
        <is>
          <t/>
        </is>
      </c>
      <c r="E88" s="3" t="inlineStr">
        <is>
          <t/>
        </is>
      </c>
      <c r="F88" s="3" t="inlineStr">
        <is>
          <t/>
        </is>
      </c>
      <c r="G88" s="3" t="inlineStr">
        <is>
          <t/>
        </is>
      </c>
      <c r="H88" s="3" t="inlineStr">
        <is>
          <t/>
        </is>
      </c>
      <c r="I88" s="3" t="inlineStr">
        <is>
          <t/>
        </is>
      </c>
      <c r="J88" s="3" t="inlineStr">
        <is>
          <t/>
        </is>
      </c>
      <c r="K88" s="3" t="inlineStr">
        <is>
          <t/>
        </is>
      </c>
      <c r="L88" s="3" t="inlineStr">
        <is>
          <t/>
        </is>
      </c>
      <c r="M88" s="3" t="inlineStr">
        <is>
          <t/>
        </is>
      </c>
      <c r="N88" s="3" t="inlineStr">
        <is>
          <t/>
        </is>
      </c>
      <c r="O88" s="3" t="inlineStr">
        <is>
          <t/>
        </is>
      </c>
      <c r="P88" s="3" t="inlineStr">
        <is>
          <t/>
        </is>
      </c>
      <c r="Q88" s="3" t="inlineStr">
        <is>
          <t/>
        </is>
      </c>
      <c r="R88" s="3" t="inlineStr">
        <is>
          <t/>
        </is>
      </c>
      <c r="S88" s="3" t="inlineStr">
        <is>
          <t/>
        </is>
      </c>
      <c r="T88" s="3" t="inlineStr">
        <is>
          <t/>
        </is>
      </c>
      <c r="U88" s="3" t="inlineStr">
        <is>
          <t/>
        </is>
      </c>
      <c r="V88" s="3" t="inlineStr">
        <is>
          <t/>
        </is>
      </c>
      <c r="W88" s="3" t="inlineStr">
        <is>
          <t/>
        </is>
      </c>
      <c r="X88" s="3" t="inlineStr">
        <is>
          <t/>
        </is>
      </c>
      <c r="Y88" s="3" t="inlineStr">
        <is>
          <t/>
        </is>
      </c>
      <c r="Z88" s="3" t="inlineStr">
        <is>
          <t/>
        </is>
      </c>
      <c r="[88" s="3" t="inlineStr">
        <is>
          <t/>
        </is>
      </c>
      <c r="\88" s="3" t="inlineStr">
        <is>
          <t/>
        </is>
      </c>
      <c r="]88" s="3" t="inlineStr">
        <is>
          <t/>
        </is>
      </c>
      <c r="^88" s="3" t="inlineStr">
        <is>
          <t/>
        </is>
      </c>
      <c r="_88" s="3" t="inlineStr">
        <is>
          <t/>
        </is>
      </c>
      <c r="`88" s="3" t="inlineStr">
        <is>
          <t/>
        </is>
      </c>
      <c r="AG88" s="3" t="inlineStr">
        <is>
          <t>=SUM(B88:AF88)</t>
        </is>
      </c>
      <c r="AH88" s="3" t="inlineStr">
        <is>
          <t>=AG88/8</t>
        </is>
      </c>
    </row>
    <row r="89">
      <c r="A89" t="inlineStr">
        <is>
          <t>=IF('Punonjësit'!A89="","",'Punonjësit'!A89)</t>
        </is>
      </c>
      <c r="B89" s="3" t="inlineStr">
        <is>
          <t/>
        </is>
      </c>
      <c r="C89" s="3" t="inlineStr">
        <is>
          <t/>
        </is>
      </c>
      <c r="D89" s="3" t="inlineStr">
        <is>
          <t/>
        </is>
      </c>
      <c r="E89" s="3" t="inlineStr">
        <is>
          <t/>
        </is>
      </c>
      <c r="F89" s="3" t="inlineStr">
        <is>
          <t/>
        </is>
      </c>
      <c r="G89" s="3" t="inlineStr">
        <is>
          <t/>
        </is>
      </c>
      <c r="H89" s="3" t="inlineStr">
        <is>
          <t/>
        </is>
      </c>
      <c r="I89" s="3" t="inlineStr">
        <is>
          <t/>
        </is>
      </c>
      <c r="J89" s="3" t="inlineStr">
        <is>
          <t/>
        </is>
      </c>
      <c r="K89" s="3" t="inlineStr">
        <is>
          <t/>
        </is>
      </c>
      <c r="L89" s="3" t="inlineStr">
        <is>
          <t/>
        </is>
      </c>
      <c r="M89" s="3" t="inlineStr">
        <is>
          <t/>
        </is>
      </c>
      <c r="N89" s="3" t="inlineStr">
        <is>
          <t/>
        </is>
      </c>
      <c r="O89" s="3" t="inlineStr">
        <is>
          <t/>
        </is>
      </c>
      <c r="P89" s="3" t="inlineStr">
        <is>
          <t/>
        </is>
      </c>
      <c r="Q89" s="3" t="inlineStr">
        <is>
          <t/>
        </is>
      </c>
      <c r="R89" s="3" t="inlineStr">
        <is>
          <t/>
        </is>
      </c>
      <c r="S89" s="3" t="inlineStr">
        <is>
          <t/>
        </is>
      </c>
      <c r="T89" s="3" t="inlineStr">
        <is>
          <t/>
        </is>
      </c>
      <c r="U89" s="3" t="inlineStr">
        <is>
          <t/>
        </is>
      </c>
      <c r="V89" s="3" t="inlineStr">
        <is>
          <t/>
        </is>
      </c>
      <c r="W89" s="3" t="inlineStr">
        <is>
          <t/>
        </is>
      </c>
      <c r="X89" s="3" t="inlineStr">
        <is>
          <t/>
        </is>
      </c>
      <c r="Y89" s="3" t="inlineStr">
        <is>
          <t/>
        </is>
      </c>
      <c r="Z89" s="3" t="inlineStr">
        <is>
          <t/>
        </is>
      </c>
      <c r="[89" s="3" t="inlineStr">
        <is>
          <t/>
        </is>
      </c>
      <c r="\89" s="3" t="inlineStr">
        <is>
          <t/>
        </is>
      </c>
      <c r="]89" s="3" t="inlineStr">
        <is>
          <t/>
        </is>
      </c>
      <c r="^89" s="3" t="inlineStr">
        <is>
          <t/>
        </is>
      </c>
      <c r="_89" s="3" t="inlineStr">
        <is>
          <t/>
        </is>
      </c>
      <c r="`89" s="3" t="inlineStr">
        <is>
          <t/>
        </is>
      </c>
      <c r="AG89" s="3" t="inlineStr">
        <is>
          <t>=SUM(B89:AF89)</t>
        </is>
      </c>
      <c r="AH89" s="3" t="inlineStr">
        <is>
          <t>=AG89/8</t>
        </is>
      </c>
    </row>
    <row r="90">
      <c r="A90" t="inlineStr">
        <is>
          <t>=IF('Punonjësit'!A90="","",'Punonjësit'!A90)</t>
        </is>
      </c>
      <c r="B90" s="3" t="inlineStr">
        <is>
          <t/>
        </is>
      </c>
      <c r="C90" s="3" t="inlineStr">
        <is>
          <t/>
        </is>
      </c>
      <c r="D90" s="3" t="inlineStr">
        <is>
          <t/>
        </is>
      </c>
      <c r="E90" s="3" t="inlineStr">
        <is>
          <t/>
        </is>
      </c>
      <c r="F90" s="3" t="inlineStr">
        <is>
          <t/>
        </is>
      </c>
      <c r="G90" s="3" t="inlineStr">
        <is>
          <t/>
        </is>
      </c>
      <c r="H90" s="3" t="inlineStr">
        <is>
          <t/>
        </is>
      </c>
      <c r="I90" s="3" t="inlineStr">
        <is>
          <t/>
        </is>
      </c>
      <c r="J90" s="3" t="inlineStr">
        <is>
          <t/>
        </is>
      </c>
      <c r="K90" s="3" t="inlineStr">
        <is>
          <t/>
        </is>
      </c>
      <c r="L90" s="3" t="inlineStr">
        <is>
          <t/>
        </is>
      </c>
      <c r="M90" s="3" t="inlineStr">
        <is>
          <t/>
        </is>
      </c>
      <c r="N90" s="3" t="inlineStr">
        <is>
          <t/>
        </is>
      </c>
      <c r="O90" s="3" t="inlineStr">
        <is>
          <t/>
        </is>
      </c>
      <c r="P90" s="3" t="inlineStr">
        <is>
          <t/>
        </is>
      </c>
      <c r="Q90" s="3" t="inlineStr">
        <is>
          <t/>
        </is>
      </c>
      <c r="R90" s="3" t="inlineStr">
        <is>
          <t/>
        </is>
      </c>
      <c r="S90" s="3" t="inlineStr">
        <is>
          <t/>
        </is>
      </c>
      <c r="T90" s="3" t="inlineStr">
        <is>
          <t/>
        </is>
      </c>
      <c r="U90" s="3" t="inlineStr">
        <is>
          <t/>
        </is>
      </c>
      <c r="V90" s="3" t="inlineStr">
        <is>
          <t/>
        </is>
      </c>
      <c r="W90" s="3" t="inlineStr">
        <is>
          <t/>
        </is>
      </c>
      <c r="X90" s="3" t="inlineStr">
        <is>
          <t/>
        </is>
      </c>
      <c r="Y90" s="3" t="inlineStr">
        <is>
          <t/>
        </is>
      </c>
      <c r="Z90" s="3" t="inlineStr">
        <is>
          <t/>
        </is>
      </c>
      <c r="[90" s="3" t="inlineStr">
        <is>
          <t/>
        </is>
      </c>
      <c r="\90" s="3" t="inlineStr">
        <is>
          <t/>
        </is>
      </c>
      <c r="]90" s="3" t="inlineStr">
        <is>
          <t/>
        </is>
      </c>
      <c r="^90" s="3" t="inlineStr">
        <is>
          <t/>
        </is>
      </c>
      <c r="_90" s="3" t="inlineStr">
        <is>
          <t/>
        </is>
      </c>
      <c r="`90" s="3" t="inlineStr">
        <is>
          <t/>
        </is>
      </c>
      <c r="AG90" s="3" t="inlineStr">
        <is>
          <t>=SUM(B90:AF90)</t>
        </is>
      </c>
      <c r="AH90" s="3" t="inlineStr">
        <is>
          <t>=AG90/8</t>
        </is>
      </c>
    </row>
    <row r="91">
      <c r="A91" t="inlineStr">
        <is>
          <t>=IF('Punonjësit'!A91="","",'Punonjësit'!A91)</t>
        </is>
      </c>
      <c r="B91" s="3" t="inlineStr">
        <is>
          <t/>
        </is>
      </c>
      <c r="C91" s="3" t="inlineStr">
        <is>
          <t/>
        </is>
      </c>
      <c r="D91" s="3" t="inlineStr">
        <is>
          <t/>
        </is>
      </c>
      <c r="E91" s="3" t="inlineStr">
        <is>
          <t/>
        </is>
      </c>
      <c r="F91" s="3" t="inlineStr">
        <is>
          <t/>
        </is>
      </c>
      <c r="G91" s="3" t="inlineStr">
        <is>
          <t/>
        </is>
      </c>
      <c r="H91" s="3" t="inlineStr">
        <is>
          <t/>
        </is>
      </c>
      <c r="I91" s="3" t="inlineStr">
        <is>
          <t/>
        </is>
      </c>
      <c r="J91" s="3" t="inlineStr">
        <is>
          <t/>
        </is>
      </c>
      <c r="K91" s="3" t="inlineStr">
        <is>
          <t/>
        </is>
      </c>
      <c r="L91" s="3" t="inlineStr">
        <is>
          <t/>
        </is>
      </c>
      <c r="M91" s="3" t="inlineStr">
        <is>
          <t/>
        </is>
      </c>
      <c r="N91" s="3" t="inlineStr">
        <is>
          <t/>
        </is>
      </c>
      <c r="O91" s="3" t="inlineStr">
        <is>
          <t/>
        </is>
      </c>
      <c r="P91" s="3" t="inlineStr">
        <is>
          <t/>
        </is>
      </c>
      <c r="Q91" s="3" t="inlineStr">
        <is>
          <t/>
        </is>
      </c>
      <c r="R91" s="3" t="inlineStr">
        <is>
          <t/>
        </is>
      </c>
      <c r="S91" s="3" t="inlineStr">
        <is>
          <t/>
        </is>
      </c>
      <c r="T91" s="3" t="inlineStr">
        <is>
          <t/>
        </is>
      </c>
      <c r="U91" s="3" t="inlineStr">
        <is>
          <t/>
        </is>
      </c>
      <c r="V91" s="3" t="inlineStr">
        <is>
          <t/>
        </is>
      </c>
      <c r="W91" s="3" t="inlineStr">
        <is>
          <t/>
        </is>
      </c>
      <c r="X91" s="3" t="inlineStr">
        <is>
          <t/>
        </is>
      </c>
      <c r="Y91" s="3" t="inlineStr">
        <is>
          <t/>
        </is>
      </c>
      <c r="Z91" s="3" t="inlineStr">
        <is>
          <t/>
        </is>
      </c>
      <c r="[91" s="3" t="inlineStr">
        <is>
          <t/>
        </is>
      </c>
      <c r="\91" s="3" t="inlineStr">
        <is>
          <t/>
        </is>
      </c>
      <c r="]91" s="3" t="inlineStr">
        <is>
          <t/>
        </is>
      </c>
      <c r="^91" s="3" t="inlineStr">
        <is>
          <t/>
        </is>
      </c>
      <c r="_91" s="3" t="inlineStr">
        <is>
          <t/>
        </is>
      </c>
      <c r="`91" s="3" t="inlineStr">
        <is>
          <t/>
        </is>
      </c>
      <c r="AG91" s="3" t="inlineStr">
        <is>
          <t>=SUM(B91:AF91)</t>
        </is>
      </c>
      <c r="AH91" s="3" t="inlineStr">
        <is>
          <t>=AG91/8</t>
        </is>
      </c>
    </row>
    <row r="92">
      <c r="A92" t="inlineStr">
        <is>
          <t>=IF('Punonjësit'!A92="","",'Punonjësit'!A92)</t>
        </is>
      </c>
      <c r="B92" s="3" t="inlineStr">
        <is>
          <t/>
        </is>
      </c>
      <c r="C92" s="3" t="inlineStr">
        <is>
          <t/>
        </is>
      </c>
      <c r="D92" s="3" t="inlineStr">
        <is>
          <t/>
        </is>
      </c>
      <c r="E92" s="3" t="inlineStr">
        <is>
          <t/>
        </is>
      </c>
      <c r="F92" s="3" t="inlineStr">
        <is>
          <t/>
        </is>
      </c>
      <c r="G92" s="3" t="inlineStr">
        <is>
          <t/>
        </is>
      </c>
      <c r="H92" s="3" t="inlineStr">
        <is>
          <t/>
        </is>
      </c>
      <c r="I92" s="3" t="inlineStr">
        <is>
          <t/>
        </is>
      </c>
      <c r="J92" s="3" t="inlineStr">
        <is>
          <t/>
        </is>
      </c>
      <c r="K92" s="3" t="inlineStr">
        <is>
          <t/>
        </is>
      </c>
      <c r="L92" s="3" t="inlineStr">
        <is>
          <t/>
        </is>
      </c>
      <c r="M92" s="3" t="inlineStr">
        <is>
          <t/>
        </is>
      </c>
      <c r="N92" s="3" t="inlineStr">
        <is>
          <t/>
        </is>
      </c>
      <c r="O92" s="3" t="inlineStr">
        <is>
          <t/>
        </is>
      </c>
      <c r="P92" s="3" t="inlineStr">
        <is>
          <t/>
        </is>
      </c>
      <c r="Q92" s="3" t="inlineStr">
        <is>
          <t/>
        </is>
      </c>
      <c r="R92" s="3" t="inlineStr">
        <is>
          <t/>
        </is>
      </c>
      <c r="S92" s="3" t="inlineStr">
        <is>
          <t/>
        </is>
      </c>
      <c r="T92" s="3" t="inlineStr">
        <is>
          <t/>
        </is>
      </c>
      <c r="U92" s="3" t="inlineStr">
        <is>
          <t/>
        </is>
      </c>
      <c r="V92" s="3" t="inlineStr">
        <is>
          <t/>
        </is>
      </c>
      <c r="W92" s="3" t="inlineStr">
        <is>
          <t/>
        </is>
      </c>
      <c r="X92" s="3" t="inlineStr">
        <is>
          <t/>
        </is>
      </c>
      <c r="Y92" s="3" t="inlineStr">
        <is>
          <t/>
        </is>
      </c>
      <c r="Z92" s="3" t="inlineStr">
        <is>
          <t/>
        </is>
      </c>
      <c r="[92" s="3" t="inlineStr">
        <is>
          <t/>
        </is>
      </c>
      <c r="\92" s="3" t="inlineStr">
        <is>
          <t/>
        </is>
      </c>
      <c r="]92" s="3" t="inlineStr">
        <is>
          <t/>
        </is>
      </c>
      <c r="^92" s="3" t="inlineStr">
        <is>
          <t/>
        </is>
      </c>
      <c r="_92" s="3" t="inlineStr">
        <is>
          <t/>
        </is>
      </c>
      <c r="`92" s="3" t="inlineStr">
        <is>
          <t/>
        </is>
      </c>
      <c r="AG92" s="3" t="inlineStr">
        <is>
          <t>=SUM(B92:AF92)</t>
        </is>
      </c>
      <c r="AH92" s="3" t="inlineStr">
        <is>
          <t>=AG92/8</t>
        </is>
      </c>
    </row>
    <row r="93">
      <c r="A93" t="inlineStr">
        <is>
          <t>=IF('Punonjësit'!A93="","",'Punonjësit'!A93)</t>
        </is>
      </c>
      <c r="B93" s="3" t="inlineStr">
        <is>
          <t/>
        </is>
      </c>
      <c r="C93" s="3" t="inlineStr">
        <is>
          <t/>
        </is>
      </c>
      <c r="D93" s="3" t="inlineStr">
        <is>
          <t/>
        </is>
      </c>
      <c r="E93" s="3" t="inlineStr">
        <is>
          <t/>
        </is>
      </c>
      <c r="F93" s="3" t="inlineStr">
        <is>
          <t/>
        </is>
      </c>
      <c r="G93" s="3" t="inlineStr">
        <is>
          <t/>
        </is>
      </c>
      <c r="H93" s="3" t="inlineStr">
        <is>
          <t/>
        </is>
      </c>
      <c r="I93" s="3" t="inlineStr">
        <is>
          <t/>
        </is>
      </c>
      <c r="J93" s="3" t="inlineStr">
        <is>
          <t/>
        </is>
      </c>
      <c r="K93" s="3" t="inlineStr">
        <is>
          <t/>
        </is>
      </c>
      <c r="L93" s="3" t="inlineStr">
        <is>
          <t/>
        </is>
      </c>
      <c r="M93" s="3" t="inlineStr">
        <is>
          <t/>
        </is>
      </c>
      <c r="N93" s="3" t="inlineStr">
        <is>
          <t/>
        </is>
      </c>
      <c r="O93" s="3" t="inlineStr">
        <is>
          <t/>
        </is>
      </c>
      <c r="P93" s="3" t="inlineStr">
        <is>
          <t/>
        </is>
      </c>
      <c r="Q93" s="3" t="inlineStr">
        <is>
          <t/>
        </is>
      </c>
      <c r="R93" s="3" t="inlineStr">
        <is>
          <t/>
        </is>
      </c>
      <c r="S93" s="3" t="inlineStr">
        <is>
          <t/>
        </is>
      </c>
      <c r="T93" s="3" t="inlineStr">
        <is>
          <t/>
        </is>
      </c>
      <c r="U93" s="3" t="inlineStr">
        <is>
          <t/>
        </is>
      </c>
      <c r="V93" s="3" t="inlineStr">
        <is>
          <t/>
        </is>
      </c>
      <c r="W93" s="3" t="inlineStr">
        <is>
          <t/>
        </is>
      </c>
      <c r="X93" s="3" t="inlineStr">
        <is>
          <t/>
        </is>
      </c>
      <c r="Y93" s="3" t="inlineStr">
        <is>
          <t/>
        </is>
      </c>
      <c r="Z93" s="3" t="inlineStr">
        <is>
          <t/>
        </is>
      </c>
      <c r="[93" s="3" t="inlineStr">
        <is>
          <t/>
        </is>
      </c>
      <c r="\93" s="3" t="inlineStr">
        <is>
          <t/>
        </is>
      </c>
      <c r="]93" s="3" t="inlineStr">
        <is>
          <t/>
        </is>
      </c>
      <c r="^93" s="3" t="inlineStr">
        <is>
          <t/>
        </is>
      </c>
      <c r="_93" s="3" t="inlineStr">
        <is>
          <t/>
        </is>
      </c>
      <c r="`93" s="3" t="inlineStr">
        <is>
          <t/>
        </is>
      </c>
      <c r="AG93" s="3" t="inlineStr">
        <is>
          <t>=SUM(B93:AF93)</t>
        </is>
      </c>
      <c r="AH93" s="3" t="inlineStr">
        <is>
          <t>=AG93/8</t>
        </is>
      </c>
    </row>
    <row r="94">
      <c r="A94" t="inlineStr">
        <is>
          <t>=IF('Punonjësit'!A94="","",'Punonjësit'!A94)</t>
        </is>
      </c>
      <c r="B94" s="3" t="inlineStr">
        <is>
          <t/>
        </is>
      </c>
      <c r="C94" s="3" t="inlineStr">
        <is>
          <t/>
        </is>
      </c>
      <c r="D94" s="3" t="inlineStr">
        <is>
          <t/>
        </is>
      </c>
      <c r="E94" s="3" t="inlineStr">
        <is>
          <t/>
        </is>
      </c>
      <c r="F94" s="3" t="inlineStr">
        <is>
          <t/>
        </is>
      </c>
      <c r="G94" s="3" t="inlineStr">
        <is>
          <t/>
        </is>
      </c>
      <c r="H94" s="3" t="inlineStr">
        <is>
          <t/>
        </is>
      </c>
      <c r="I94" s="3" t="inlineStr">
        <is>
          <t/>
        </is>
      </c>
      <c r="J94" s="3" t="inlineStr">
        <is>
          <t/>
        </is>
      </c>
      <c r="K94" s="3" t="inlineStr">
        <is>
          <t/>
        </is>
      </c>
      <c r="L94" s="3" t="inlineStr">
        <is>
          <t/>
        </is>
      </c>
      <c r="M94" s="3" t="inlineStr">
        <is>
          <t/>
        </is>
      </c>
      <c r="N94" s="3" t="inlineStr">
        <is>
          <t/>
        </is>
      </c>
      <c r="O94" s="3" t="inlineStr">
        <is>
          <t/>
        </is>
      </c>
      <c r="P94" s="3" t="inlineStr">
        <is>
          <t/>
        </is>
      </c>
      <c r="Q94" s="3" t="inlineStr">
        <is>
          <t/>
        </is>
      </c>
      <c r="R94" s="3" t="inlineStr">
        <is>
          <t/>
        </is>
      </c>
      <c r="S94" s="3" t="inlineStr">
        <is>
          <t/>
        </is>
      </c>
      <c r="T94" s="3" t="inlineStr">
        <is>
          <t/>
        </is>
      </c>
      <c r="U94" s="3" t="inlineStr">
        <is>
          <t/>
        </is>
      </c>
      <c r="V94" s="3" t="inlineStr">
        <is>
          <t/>
        </is>
      </c>
      <c r="W94" s="3" t="inlineStr">
        <is>
          <t/>
        </is>
      </c>
      <c r="X94" s="3" t="inlineStr">
        <is>
          <t/>
        </is>
      </c>
      <c r="Y94" s="3" t="inlineStr">
        <is>
          <t/>
        </is>
      </c>
      <c r="Z94" s="3" t="inlineStr">
        <is>
          <t/>
        </is>
      </c>
      <c r="[94" s="3" t="inlineStr">
        <is>
          <t/>
        </is>
      </c>
      <c r="\94" s="3" t="inlineStr">
        <is>
          <t/>
        </is>
      </c>
      <c r="]94" s="3" t="inlineStr">
        <is>
          <t/>
        </is>
      </c>
      <c r="^94" s="3" t="inlineStr">
        <is>
          <t/>
        </is>
      </c>
      <c r="_94" s="3" t="inlineStr">
        <is>
          <t/>
        </is>
      </c>
      <c r="`94" s="3" t="inlineStr">
        <is>
          <t/>
        </is>
      </c>
      <c r="AG94" s="3" t="inlineStr">
        <is>
          <t>=SUM(B94:AF94)</t>
        </is>
      </c>
      <c r="AH94" s="3" t="inlineStr">
        <is>
          <t>=AG94/8</t>
        </is>
      </c>
    </row>
    <row r="95">
      <c r="A95" t="inlineStr">
        <is>
          <t>=IF('Punonjësit'!A95="","",'Punonjësit'!A95)</t>
        </is>
      </c>
      <c r="B95" s="3" t="inlineStr">
        <is>
          <t/>
        </is>
      </c>
      <c r="C95" s="3" t="inlineStr">
        <is>
          <t/>
        </is>
      </c>
      <c r="D95" s="3" t="inlineStr">
        <is>
          <t/>
        </is>
      </c>
      <c r="E95" s="3" t="inlineStr">
        <is>
          <t/>
        </is>
      </c>
      <c r="F95" s="3" t="inlineStr">
        <is>
          <t/>
        </is>
      </c>
      <c r="G95" s="3" t="inlineStr">
        <is>
          <t/>
        </is>
      </c>
      <c r="H95" s="3" t="inlineStr">
        <is>
          <t/>
        </is>
      </c>
      <c r="I95" s="3" t="inlineStr">
        <is>
          <t/>
        </is>
      </c>
      <c r="J95" s="3" t="inlineStr">
        <is>
          <t/>
        </is>
      </c>
      <c r="K95" s="3" t="inlineStr">
        <is>
          <t/>
        </is>
      </c>
      <c r="L95" s="3" t="inlineStr">
        <is>
          <t/>
        </is>
      </c>
      <c r="M95" s="3" t="inlineStr">
        <is>
          <t/>
        </is>
      </c>
      <c r="N95" s="3" t="inlineStr">
        <is>
          <t/>
        </is>
      </c>
      <c r="O95" s="3" t="inlineStr">
        <is>
          <t/>
        </is>
      </c>
      <c r="P95" s="3" t="inlineStr">
        <is>
          <t/>
        </is>
      </c>
      <c r="Q95" s="3" t="inlineStr">
        <is>
          <t/>
        </is>
      </c>
      <c r="R95" s="3" t="inlineStr">
        <is>
          <t/>
        </is>
      </c>
      <c r="S95" s="3" t="inlineStr">
        <is>
          <t/>
        </is>
      </c>
      <c r="T95" s="3" t="inlineStr">
        <is>
          <t/>
        </is>
      </c>
      <c r="U95" s="3" t="inlineStr">
        <is>
          <t/>
        </is>
      </c>
      <c r="V95" s="3" t="inlineStr">
        <is>
          <t/>
        </is>
      </c>
      <c r="W95" s="3" t="inlineStr">
        <is>
          <t/>
        </is>
      </c>
      <c r="X95" s="3" t="inlineStr">
        <is>
          <t/>
        </is>
      </c>
      <c r="Y95" s="3" t="inlineStr">
        <is>
          <t/>
        </is>
      </c>
      <c r="Z95" s="3" t="inlineStr">
        <is>
          <t/>
        </is>
      </c>
      <c r="[95" s="3" t="inlineStr">
        <is>
          <t/>
        </is>
      </c>
      <c r="\95" s="3" t="inlineStr">
        <is>
          <t/>
        </is>
      </c>
      <c r="]95" s="3" t="inlineStr">
        <is>
          <t/>
        </is>
      </c>
      <c r="^95" s="3" t="inlineStr">
        <is>
          <t/>
        </is>
      </c>
      <c r="_95" s="3" t="inlineStr">
        <is>
          <t/>
        </is>
      </c>
      <c r="`95" s="3" t="inlineStr">
        <is>
          <t/>
        </is>
      </c>
      <c r="AG95" s="3" t="inlineStr">
        <is>
          <t>=SUM(B95:AF95)</t>
        </is>
      </c>
      <c r="AH95" s="3" t="inlineStr">
        <is>
          <t>=AG95/8</t>
        </is>
      </c>
    </row>
    <row r="96">
      <c r="A96" t="inlineStr">
        <is>
          <t>=IF('Punonjësit'!A96="","",'Punonjësit'!A96)</t>
        </is>
      </c>
      <c r="B96" s="3" t="inlineStr">
        <is>
          <t/>
        </is>
      </c>
      <c r="C96" s="3" t="inlineStr">
        <is>
          <t/>
        </is>
      </c>
      <c r="D96" s="3" t="inlineStr">
        <is>
          <t/>
        </is>
      </c>
      <c r="E96" s="3" t="inlineStr">
        <is>
          <t/>
        </is>
      </c>
      <c r="F96" s="3" t="inlineStr">
        <is>
          <t/>
        </is>
      </c>
      <c r="G96" s="3" t="inlineStr">
        <is>
          <t/>
        </is>
      </c>
      <c r="H96" s="3" t="inlineStr">
        <is>
          <t/>
        </is>
      </c>
      <c r="I96" s="3" t="inlineStr">
        <is>
          <t/>
        </is>
      </c>
      <c r="J96" s="3" t="inlineStr">
        <is>
          <t/>
        </is>
      </c>
      <c r="K96" s="3" t="inlineStr">
        <is>
          <t/>
        </is>
      </c>
      <c r="L96" s="3" t="inlineStr">
        <is>
          <t/>
        </is>
      </c>
      <c r="M96" s="3" t="inlineStr">
        <is>
          <t/>
        </is>
      </c>
      <c r="N96" s="3" t="inlineStr">
        <is>
          <t/>
        </is>
      </c>
      <c r="O96" s="3" t="inlineStr">
        <is>
          <t/>
        </is>
      </c>
      <c r="P96" s="3" t="inlineStr">
        <is>
          <t/>
        </is>
      </c>
      <c r="Q96" s="3" t="inlineStr">
        <is>
          <t/>
        </is>
      </c>
      <c r="R96" s="3" t="inlineStr">
        <is>
          <t/>
        </is>
      </c>
      <c r="S96" s="3" t="inlineStr">
        <is>
          <t/>
        </is>
      </c>
      <c r="T96" s="3" t="inlineStr">
        <is>
          <t/>
        </is>
      </c>
      <c r="U96" s="3" t="inlineStr">
        <is>
          <t/>
        </is>
      </c>
      <c r="V96" s="3" t="inlineStr">
        <is>
          <t/>
        </is>
      </c>
      <c r="W96" s="3" t="inlineStr">
        <is>
          <t/>
        </is>
      </c>
      <c r="X96" s="3" t="inlineStr">
        <is>
          <t/>
        </is>
      </c>
      <c r="Y96" s="3" t="inlineStr">
        <is>
          <t/>
        </is>
      </c>
      <c r="Z96" s="3" t="inlineStr">
        <is>
          <t/>
        </is>
      </c>
      <c r="[96" s="3" t="inlineStr">
        <is>
          <t/>
        </is>
      </c>
      <c r="\96" s="3" t="inlineStr">
        <is>
          <t/>
        </is>
      </c>
      <c r="]96" s="3" t="inlineStr">
        <is>
          <t/>
        </is>
      </c>
      <c r="^96" s="3" t="inlineStr">
        <is>
          <t/>
        </is>
      </c>
      <c r="_96" s="3" t="inlineStr">
        <is>
          <t/>
        </is>
      </c>
      <c r="`96" s="3" t="inlineStr">
        <is>
          <t/>
        </is>
      </c>
      <c r="AG96" s="3" t="inlineStr">
        <is>
          <t>=SUM(B96:AF96)</t>
        </is>
      </c>
      <c r="AH96" s="3" t="inlineStr">
        <is>
          <t>=AG96/8</t>
        </is>
      </c>
    </row>
    <row r="97">
      <c r="A97" t="inlineStr">
        <is>
          <t>=IF('Punonjësit'!A97="","",'Punonjësit'!A97)</t>
        </is>
      </c>
      <c r="B97" s="3" t="inlineStr">
        <is>
          <t/>
        </is>
      </c>
      <c r="C97" s="3" t="inlineStr">
        <is>
          <t/>
        </is>
      </c>
      <c r="D97" s="3" t="inlineStr">
        <is>
          <t/>
        </is>
      </c>
      <c r="E97" s="3" t="inlineStr">
        <is>
          <t/>
        </is>
      </c>
      <c r="F97" s="3" t="inlineStr">
        <is>
          <t/>
        </is>
      </c>
      <c r="G97" s="3" t="inlineStr">
        <is>
          <t/>
        </is>
      </c>
      <c r="H97" s="3" t="inlineStr">
        <is>
          <t/>
        </is>
      </c>
      <c r="I97" s="3" t="inlineStr">
        <is>
          <t/>
        </is>
      </c>
      <c r="J97" s="3" t="inlineStr">
        <is>
          <t/>
        </is>
      </c>
      <c r="K97" s="3" t="inlineStr">
        <is>
          <t/>
        </is>
      </c>
      <c r="L97" s="3" t="inlineStr">
        <is>
          <t/>
        </is>
      </c>
      <c r="M97" s="3" t="inlineStr">
        <is>
          <t/>
        </is>
      </c>
      <c r="N97" s="3" t="inlineStr">
        <is>
          <t/>
        </is>
      </c>
      <c r="O97" s="3" t="inlineStr">
        <is>
          <t/>
        </is>
      </c>
      <c r="P97" s="3" t="inlineStr">
        <is>
          <t/>
        </is>
      </c>
      <c r="Q97" s="3" t="inlineStr">
        <is>
          <t/>
        </is>
      </c>
      <c r="R97" s="3" t="inlineStr">
        <is>
          <t/>
        </is>
      </c>
      <c r="S97" s="3" t="inlineStr">
        <is>
          <t/>
        </is>
      </c>
      <c r="T97" s="3" t="inlineStr">
        <is>
          <t/>
        </is>
      </c>
      <c r="U97" s="3" t="inlineStr">
        <is>
          <t/>
        </is>
      </c>
      <c r="V97" s="3" t="inlineStr">
        <is>
          <t/>
        </is>
      </c>
      <c r="W97" s="3" t="inlineStr">
        <is>
          <t/>
        </is>
      </c>
      <c r="X97" s="3" t="inlineStr">
        <is>
          <t/>
        </is>
      </c>
      <c r="Y97" s="3" t="inlineStr">
        <is>
          <t/>
        </is>
      </c>
      <c r="Z97" s="3" t="inlineStr">
        <is>
          <t/>
        </is>
      </c>
      <c r="[97" s="3" t="inlineStr">
        <is>
          <t/>
        </is>
      </c>
      <c r="\97" s="3" t="inlineStr">
        <is>
          <t/>
        </is>
      </c>
      <c r="]97" s="3" t="inlineStr">
        <is>
          <t/>
        </is>
      </c>
      <c r="^97" s="3" t="inlineStr">
        <is>
          <t/>
        </is>
      </c>
      <c r="_97" s="3" t="inlineStr">
        <is>
          <t/>
        </is>
      </c>
      <c r="`97" s="3" t="inlineStr">
        <is>
          <t/>
        </is>
      </c>
      <c r="AG97" s="3" t="inlineStr">
        <is>
          <t>=SUM(B97:AF97)</t>
        </is>
      </c>
      <c r="AH97" s="3" t="inlineStr">
        <is>
          <t>=AG97/8</t>
        </is>
      </c>
    </row>
    <row r="98">
      <c r="A98" t="inlineStr">
        <is>
          <t>=IF('Punonjësit'!A98="","",'Punonjësit'!A98)</t>
        </is>
      </c>
      <c r="B98" s="3" t="inlineStr">
        <is>
          <t/>
        </is>
      </c>
      <c r="C98" s="3" t="inlineStr">
        <is>
          <t/>
        </is>
      </c>
      <c r="D98" s="3" t="inlineStr">
        <is>
          <t/>
        </is>
      </c>
      <c r="E98" s="3" t="inlineStr">
        <is>
          <t/>
        </is>
      </c>
      <c r="F98" s="3" t="inlineStr">
        <is>
          <t/>
        </is>
      </c>
      <c r="G98" s="3" t="inlineStr">
        <is>
          <t/>
        </is>
      </c>
      <c r="H98" s="3" t="inlineStr">
        <is>
          <t/>
        </is>
      </c>
      <c r="I98" s="3" t="inlineStr">
        <is>
          <t/>
        </is>
      </c>
      <c r="J98" s="3" t="inlineStr">
        <is>
          <t/>
        </is>
      </c>
      <c r="K98" s="3" t="inlineStr">
        <is>
          <t/>
        </is>
      </c>
      <c r="L98" s="3" t="inlineStr">
        <is>
          <t/>
        </is>
      </c>
      <c r="M98" s="3" t="inlineStr">
        <is>
          <t/>
        </is>
      </c>
      <c r="N98" s="3" t="inlineStr">
        <is>
          <t/>
        </is>
      </c>
      <c r="O98" s="3" t="inlineStr">
        <is>
          <t/>
        </is>
      </c>
      <c r="P98" s="3" t="inlineStr">
        <is>
          <t/>
        </is>
      </c>
      <c r="Q98" s="3" t="inlineStr">
        <is>
          <t/>
        </is>
      </c>
      <c r="R98" s="3" t="inlineStr">
        <is>
          <t/>
        </is>
      </c>
      <c r="S98" s="3" t="inlineStr">
        <is>
          <t/>
        </is>
      </c>
      <c r="T98" s="3" t="inlineStr">
        <is>
          <t/>
        </is>
      </c>
      <c r="U98" s="3" t="inlineStr">
        <is>
          <t/>
        </is>
      </c>
      <c r="V98" s="3" t="inlineStr">
        <is>
          <t/>
        </is>
      </c>
      <c r="W98" s="3" t="inlineStr">
        <is>
          <t/>
        </is>
      </c>
      <c r="X98" s="3" t="inlineStr">
        <is>
          <t/>
        </is>
      </c>
      <c r="Y98" s="3" t="inlineStr">
        <is>
          <t/>
        </is>
      </c>
      <c r="Z98" s="3" t="inlineStr">
        <is>
          <t/>
        </is>
      </c>
      <c r="[98" s="3" t="inlineStr">
        <is>
          <t/>
        </is>
      </c>
      <c r="\98" s="3" t="inlineStr">
        <is>
          <t/>
        </is>
      </c>
      <c r="]98" s="3" t="inlineStr">
        <is>
          <t/>
        </is>
      </c>
      <c r="^98" s="3" t="inlineStr">
        <is>
          <t/>
        </is>
      </c>
      <c r="_98" s="3" t="inlineStr">
        <is>
          <t/>
        </is>
      </c>
      <c r="`98" s="3" t="inlineStr">
        <is>
          <t/>
        </is>
      </c>
      <c r="AG98" s="3" t="inlineStr">
        <is>
          <t>=SUM(B98:AF98)</t>
        </is>
      </c>
      <c r="AH98" s="3" t="inlineStr">
        <is>
          <t>=AG98/8</t>
        </is>
      </c>
    </row>
    <row r="99">
      <c r="A99" t="inlineStr">
        <is>
          <t>=IF('Punonjësit'!A99="","",'Punonjësit'!A99)</t>
        </is>
      </c>
      <c r="B99" s="3" t="inlineStr">
        <is>
          <t/>
        </is>
      </c>
      <c r="C99" s="3" t="inlineStr">
        <is>
          <t/>
        </is>
      </c>
      <c r="D99" s="3" t="inlineStr">
        <is>
          <t/>
        </is>
      </c>
      <c r="E99" s="3" t="inlineStr">
        <is>
          <t/>
        </is>
      </c>
      <c r="F99" s="3" t="inlineStr">
        <is>
          <t/>
        </is>
      </c>
      <c r="G99" s="3" t="inlineStr">
        <is>
          <t/>
        </is>
      </c>
      <c r="H99" s="3" t="inlineStr">
        <is>
          <t/>
        </is>
      </c>
      <c r="I99" s="3" t="inlineStr">
        <is>
          <t/>
        </is>
      </c>
      <c r="J99" s="3" t="inlineStr">
        <is>
          <t/>
        </is>
      </c>
      <c r="K99" s="3" t="inlineStr">
        <is>
          <t/>
        </is>
      </c>
      <c r="L99" s="3" t="inlineStr">
        <is>
          <t/>
        </is>
      </c>
      <c r="M99" s="3" t="inlineStr">
        <is>
          <t/>
        </is>
      </c>
      <c r="N99" s="3" t="inlineStr">
        <is>
          <t/>
        </is>
      </c>
      <c r="O99" s="3" t="inlineStr">
        <is>
          <t/>
        </is>
      </c>
      <c r="P99" s="3" t="inlineStr">
        <is>
          <t/>
        </is>
      </c>
      <c r="Q99" s="3" t="inlineStr">
        <is>
          <t/>
        </is>
      </c>
      <c r="R99" s="3" t="inlineStr">
        <is>
          <t/>
        </is>
      </c>
      <c r="S99" s="3" t="inlineStr">
        <is>
          <t/>
        </is>
      </c>
      <c r="T99" s="3" t="inlineStr">
        <is>
          <t/>
        </is>
      </c>
      <c r="U99" s="3" t="inlineStr">
        <is>
          <t/>
        </is>
      </c>
      <c r="V99" s="3" t="inlineStr">
        <is>
          <t/>
        </is>
      </c>
      <c r="W99" s="3" t="inlineStr">
        <is>
          <t/>
        </is>
      </c>
      <c r="X99" s="3" t="inlineStr">
        <is>
          <t/>
        </is>
      </c>
      <c r="Y99" s="3" t="inlineStr">
        <is>
          <t/>
        </is>
      </c>
      <c r="Z99" s="3" t="inlineStr">
        <is>
          <t/>
        </is>
      </c>
      <c r="[99" s="3" t="inlineStr">
        <is>
          <t/>
        </is>
      </c>
      <c r="\99" s="3" t="inlineStr">
        <is>
          <t/>
        </is>
      </c>
      <c r="]99" s="3" t="inlineStr">
        <is>
          <t/>
        </is>
      </c>
      <c r="^99" s="3" t="inlineStr">
        <is>
          <t/>
        </is>
      </c>
      <c r="_99" s="3" t="inlineStr">
        <is>
          <t/>
        </is>
      </c>
      <c r="`99" s="3" t="inlineStr">
        <is>
          <t/>
        </is>
      </c>
      <c r="AG99" s="3" t="inlineStr">
        <is>
          <t>=SUM(B99:AF99)</t>
        </is>
      </c>
      <c r="AH99" s="3" t="inlineStr">
        <is>
          <t>=AG99/8</t>
        </is>
      </c>
    </row>
    <row r="100">
      <c r="A100" t="inlineStr">
        <is>
          <t>=IF('Punonjësit'!A100="","",'Punonjësit'!A100)</t>
        </is>
      </c>
      <c r="B100" s="3" t="inlineStr">
        <is>
          <t/>
        </is>
      </c>
      <c r="C100" s="3" t="inlineStr">
        <is>
          <t/>
        </is>
      </c>
      <c r="D100" s="3" t="inlineStr">
        <is>
          <t/>
        </is>
      </c>
      <c r="E100" s="3" t="inlineStr">
        <is>
          <t/>
        </is>
      </c>
      <c r="F100" s="3" t="inlineStr">
        <is>
          <t/>
        </is>
      </c>
      <c r="G100" s="3" t="inlineStr">
        <is>
          <t/>
        </is>
      </c>
      <c r="H100" s="3" t="inlineStr">
        <is>
          <t/>
        </is>
      </c>
      <c r="I100" s="3" t="inlineStr">
        <is>
          <t/>
        </is>
      </c>
      <c r="J100" s="3" t="inlineStr">
        <is>
          <t/>
        </is>
      </c>
      <c r="K100" s="3" t="inlineStr">
        <is>
          <t/>
        </is>
      </c>
      <c r="L100" s="3" t="inlineStr">
        <is>
          <t/>
        </is>
      </c>
      <c r="M100" s="3" t="inlineStr">
        <is>
          <t/>
        </is>
      </c>
      <c r="N100" s="3" t="inlineStr">
        <is>
          <t/>
        </is>
      </c>
      <c r="O100" s="3" t="inlineStr">
        <is>
          <t/>
        </is>
      </c>
      <c r="P100" s="3" t="inlineStr">
        <is>
          <t/>
        </is>
      </c>
      <c r="Q100" s="3" t="inlineStr">
        <is>
          <t/>
        </is>
      </c>
      <c r="R100" s="3" t="inlineStr">
        <is>
          <t/>
        </is>
      </c>
      <c r="S100" s="3" t="inlineStr">
        <is>
          <t/>
        </is>
      </c>
      <c r="T100" s="3" t="inlineStr">
        <is>
          <t/>
        </is>
      </c>
      <c r="U100" s="3" t="inlineStr">
        <is>
          <t/>
        </is>
      </c>
      <c r="V100" s="3" t="inlineStr">
        <is>
          <t/>
        </is>
      </c>
      <c r="W100" s="3" t="inlineStr">
        <is>
          <t/>
        </is>
      </c>
      <c r="X100" s="3" t="inlineStr">
        <is>
          <t/>
        </is>
      </c>
      <c r="Y100" s="3" t="inlineStr">
        <is>
          <t/>
        </is>
      </c>
      <c r="Z100" s="3" t="inlineStr">
        <is>
          <t/>
        </is>
      </c>
      <c r="[100" s="3" t="inlineStr">
        <is>
          <t/>
        </is>
      </c>
      <c r="\100" s="3" t="inlineStr">
        <is>
          <t/>
        </is>
      </c>
      <c r="]100" s="3" t="inlineStr">
        <is>
          <t/>
        </is>
      </c>
      <c r="^100" s="3" t="inlineStr">
        <is>
          <t/>
        </is>
      </c>
      <c r="_100" s="3" t="inlineStr">
        <is>
          <t/>
        </is>
      </c>
      <c r="`100" s="3" t="inlineStr">
        <is>
          <t/>
        </is>
      </c>
      <c r="AG100" s="3" t="inlineStr">
        <is>
          <t>=SUM(B100:AF100)</t>
        </is>
      </c>
      <c r="AH100" s="3" t="inlineStr">
        <is>
          <t>=AG100/8</t>
        </is>
      </c>
    </row>
    <row r="101">
      <c r="A101" t="inlineStr">
        <is>
          <t>=IF('Punonjësit'!A101="","",'Punonjësit'!A101)</t>
        </is>
      </c>
      <c r="B101" s="3" t="inlineStr">
        <is>
          <t/>
        </is>
      </c>
      <c r="C101" s="3" t="inlineStr">
        <is>
          <t/>
        </is>
      </c>
      <c r="D101" s="3" t="inlineStr">
        <is>
          <t/>
        </is>
      </c>
      <c r="E101" s="3" t="inlineStr">
        <is>
          <t/>
        </is>
      </c>
      <c r="F101" s="3" t="inlineStr">
        <is>
          <t/>
        </is>
      </c>
      <c r="G101" s="3" t="inlineStr">
        <is>
          <t/>
        </is>
      </c>
      <c r="H101" s="3" t="inlineStr">
        <is>
          <t/>
        </is>
      </c>
      <c r="I101" s="3" t="inlineStr">
        <is>
          <t/>
        </is>
      </c>
      <c r="J101" s="3" t="inlineStr">
        <is>
          <t/>
        </is>
      </c>
      <c r="K101" s="3" t="inlineStr">
        <is>
          <t/>
        </is>
      </c>
      <c r="L101" s="3" t="inlineStr">
        <is>
          <t/>
        </is>
      </c>
      <c r="M101" s="3" t="inlineStr">
        <is>
          <t/>
        </is>
      </c>
      <c r="N101" s="3" t="inlineStr">
        <is>
          <t/>
        </is>
      </c>
      <c r="O101" s="3" t="inlineStr">
        <is>
          <t/>
        </is>
      </c>
      <c r="P101" s="3" t="inlineStr">
        <is>
          <t/>
        </is>
      </c>
      <c r="Q101" s="3" t="inlineStr">
        <is>
          <t/>
        </is>
      </c>
      <c r="R101" s="3" t="inlineStr">
        <is>
          <t/>
        </is>
      </c>
      <c r="S101" s="3" t="inlineStr">
        <is>
          <t/>
        </is>
      </c>
      <c r="T101" s="3" t="inlineStr">
        <is>
          <t/>
        </is>
      </c>
      <c r="U101" s="3" t="inlineStr">
        <is>
          <t/>
        </is>
      </c>
      <c r="V101" s="3" t="inlineStr">
        <is>
          <t/>
        </is>
      </c>
      <c r="W101" s="3" t="inlineStr">
        <is>
          <t/>
        </is>
      </c>
      <c r="X101" s="3" t="inlineStr">
        <is>
          <t/>
        </is>
      </c>
      <c r="Y101" s="3" t="inlineStr">
        <is>
          <t/>
        </is>
      </c>
      <c r="Z101" s="3" t="inlineStr">
        <is>
          <t/>
        </is>
      </c>
      <c r="[101" s="3" t="inlineStr">
        <is>
          <t/>
        </is>
      </c>
      <c r="\101" s="3" t="inlineStr">
        <is>
          <t/>
        </is>
      </c>
      <c r="]101" s="3" t="inlineStr">
        <is>
          <t/>
        </is>
      </c>
      <c r="^101" s="3" t="inlineStr">
        <is>
          <t/>
        </is>
      </c>
      <c r="_101" s="3" t="inlineStr">
        <is>
          <t/>
        </is>
      </c>
      <c r="`101" s="3" t="inlineStr">
        <is>
          <t/>
        </is>
      </c>
      <c r="AG101" s="3" t="inlineStr">
        <is>
          <t>=SUM(B101:AF101)</t>
        </is>
      </c>
      <c r="AH101" s="3" t="inlineStr">
        <is>
          <t>=AG101/8</t>
        </is>
      </c>
    </row>
  </sheetData>
  <pageMargins left="0.3" right="0.3" top="0.5" bottom="0.5" header="0.2" footer="0.2"/>
</worksheet>
</file>

<file path=xl/worksheets/sheet6.xml><?xml version="1.0" encoding="utf-8"?>
<worksheet xmlns="http://schemas.openxmlformats.org/spreadsheetml/2006/main">
  <dimension ref="A1:B21"/>
  <cols>
    <col min="1" max="1" width="34" customWidth="1"/>
    <col min="2" max="2" width="18" customWidth="1"/>
  </cols>
  <sheetData>
    <row r="1">
      <c r="A1" s="1" t="inlineStr">
        <is>
          <t>KALKULATORI I PAGËS — ALL IN ONE</t>
        </is>
      </c>
    </row>
    <row r="3">
      <c r="A3" s="1" t="inlineStr">
        <is>
          <t>Të dhënat hyrëse</t>
        </is>
      </c>
      <c r="B3" s="1" t="inlineStr">
        <is>
          <t>Vlera</t>
        </is>
      </c>
    </row>
    <row r="4">
      <c r="A4" t="inlineStr">
        <is>
          <t>Paga bazë bruto</t>
        </is>
      </c>
      <c r="B4" s="3">
        <v>100000</v>
      </c>
    </row>
    <row r="5">
      <c r="A5" t="inlineStr">
        <is>
          <t>Shtesa</t>
        </is>
      </c>
      <c r="B5" s="3">
        <v>0</v>
      </c>
    </row>
    <row r="6">
      <c r="A6" t="inlineStr">
        <is>
          <t>Orë shtesë</t>
        </is>
      </c>
      <c r="B6" s="3">
        <v>0</v>
      </c>
    </row>
    <row r="7">
      <c r="A7" t="inlineStr">
        <is>
          <t>Çmimi/orë shtesë</t>
        </is>
      </c>
      <c r="B7" s="3">
        <v>0</v>
      </c>
    </row>
    <row r="8">
      <c r="A8" t="inlineStr">
        <is>
          <t>Shpërblim</t>
        </is>
      </c>
      <c r="B8" s="3">
        <v>0</v>
      </c>
    </row>
    <row r="10">
      <c r="A10" s="1" t="inlineStr">
        <is>
          <t>Paga bruto</t>
        </is>
      </c>
      <c r="B10" s="3">
        <f>=B4+B5+B6*B7+B8</f>
        <v/>
      </c>
    </row>
    <row r="11">
      <c r="A11" t="inlineStr">
        <is>
          <t>SS punonjës</t>
        </is>
      </c>
      <c r="B11" s="3">
        <f>=MIN(B10,Parametrat!$B$6)*Parametrat!$B$2/100</f>
        <v/>
      </c>
    </row>
    <row r="12">
      <c r="A12" t="inlineStr">
        <is>
          <t>SH punonjës</t>
        </is>
      </c>
      <c r="B12" s="3">
        <f>=B10*Parametrat!$B$3/100</f>
        <v/>
      </c>
    </row>
    <row r="13">
      <c r="A13" t="inlineStr">
        <is>
          <t>Paga e tatueshme</t>
        </is>
      </c>
      <c r="B13" s="3">
        <f>=MAX(0,B10-B11-B12)</f>
        <v/>
      </c>
    </row>
    <row r="14">
      <c r="A14" t="inlineStr">
        <is>
          <t>TAP</t>
        </is>
      </c>
      <c r="B14" s="3">
        <f>=IF(B13&lt;=Parametrat!$B$7,0,IF(B13&lt;=Parametrat!$B$8,(B13-Parametrat!$B$7)*Parametrat!$B$9/100,(Parametrat!$B$8-Parametrat!$B$7)*Parametrat!$B$9/100+(B13-Parametrat!$B$8)*Parametrat!$B$10/100))</f>
        <v/>
      </c>
    </row>
    <row r="15">
      <c r="A15" s="1" t="inlineStr">
        <is>
          <t>Paga neto</t>
        </is>
      </c>
      <c r="B15" s="3">
        <f>=B10-B11-B12-B14</f>
        <v/>
      </c>
    </row>
    <row r="16">
      <c r="A16" t="inlineStr">
        <is>
          <t>SS punëdhënës</t>
        </is>
      </c>
      <c r="B16" s="3">
        <f>=MIN(B10,Parametrat!$B$6)*Parametrat!$B$4/100</f>
        <v/>
      </c>
    </row>
    <row r="17">
      <c r="A17" t="inlineStr">
        <is>
          <t>SH punëdhënës</t>
        </is>
      </c>
      <c r="B17" s="3">
        <f>=B10*Parametrat!$B$5/100</f>
        <v/>
      </c>
    </row>
    <row r="18">
      <c r="A18" s="1" t="inlineStr">
        <is>
          <t>Kosto totale punëdhënësi</t>
        </is>
      </c>
      <c r="B18" s="3">
        <f>=B10+B16+B17</f>
        <v/>
      </c>
    </row>
    <row r="21">
      <c r="A21" s="1" t="inlineStr">
        <is>
          <t>Shënim: ndrysho normat te Parametrat. Përdor Kalkulatorin për të kontrolluar bruto-në-neto para transferimit në listë.</t>
        </is>
      </c>
    </row>
  </sheetData>
</worksheet>
</file>